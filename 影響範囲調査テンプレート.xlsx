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調査手順" sheetId="2" state="visible" r:id="rId4"/>
    <sheet name="観点チェックリスト" sheetId="3" state="visible" r:id="rId5"/>
    <sheet name="ツール・コマンド例" sheetId="4" state="visible" r:id="rId6"/>
    <sheet name="調査結果_テンプレート" sheetId="5" state="visible" r:id="rId7"/>
    <sheet name="記入例" sheetId="6" state="visible" r:id="rId8"/>
    <sheet name="レビュー観点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<sst xmlns="http://schemas.openxmlformats.org/spreadsheetml/2006/main" count="382" uniqueCount="280">
  <si>
    <r>
      <rPr>
        <b val="true"/>
        <sz val="14"/>
        <rFont val="Noto Sans CJK SC"/>
        <family val="2"/>
      </rPr>
      <t xml:space="preserve">コード影響範囲調査ガイド</t>
    </r>
    <r>
      <rPr>
        <b val="true"/>
        <sz val="14"/>
        <rFont val="Meiryo UI"/>
        <family val="0"/>
        <charset val="1"/>
      </rPr>
      <t xml:space="preserve">&amp;</t>
    </r>
    <r>
      <rPr>
        <b val="true"/>
        <sz val="14"/>
        <rFont val="Noto Sans CJK SC"/>
        <family val="2"/>
      </rPr>
      <t xml:space="preserve">記載テンプレート</t>
    </r>
  </si>
  <si>
    <r>
      <rPr>
        <sz val="9"/>
        <color rgb="FF595959"/>
        <rFont val="Noto Sans CJK SC"/>
        <family val="2"/>
      </rPr>
      <t xml:space="preserve">作成日</t>
    </r>
    <r>
      <rPr>
        <sz val="9"/>
        <color rgb="FF595959"/>
        <rFont val="Meiryo UI"/>
        <family val="0"/>
        <charset val="1"/>
      </rPr>
      <t xml:space="preserve">:2026-10-13</t>
    </r>
  </si>
  <si>
    <t xml:space="preserve">目的</t>
  </si>
  <si>
    <t xml:space="preserve">「この変更で何が壊れうるか」を実装前に洗い出し、テスト範囲とリスクを根拠付きで決めるために行う。</t>
  </si>
  <si>
    <t xml:space="preserve">実施タイミング</t>
  </si>
  <si>
    <r>
      <rPr>
        <sz val="10"/>
        <rFont val="Noto Sans CJK SC"/>
        <family val="2"/>
      </rPr>
      <t xml:space="preserve">・機能追加・仕様変更・バグ修正の設計時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実装前</t>
    </r>
    <r>
      <rPr>
        <sz val="10"/>
        <rFont val="Meiryo U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</si>
  <si>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・共通部品、</t>
    </r>
    <r>
      <rPr>
        <sz val="10"/>
        <rFont val="Meiryo UI"/>
        <family val="0"/>
        <charset val="1"/>
      </rPr>
      <t xml:space="preserve">DB</t>
    </r>
    <r>
      <rPr>
        <sz val="10"/>
        <rFont val="Noto Sans CJK SC"/>
        <family val="2"/>
      </rPr>
      <t xml:space="preserve">スキーマ、外部</t>
    </r>
    <r>
      <rPr>
        <sz val="10"/>
        <rFont val="Meiryo UI"/>
        <family val="0"/>
        <charset val="1"/>
      </rPr>
      <t xml:space="preserve">IF</t>
    </r>
    <r>
      <rPr>
        <sz val="10"/>
        <rFont val="Noto Sans CJK SC"/>
        <family val="2"/>
      </rPr>
      <t xml:space="preserve">、設定値、ライブラリバージョンを変更するとき</t>
    </r>
  </si>
  <si>
    <t xml:space="preserve">・レビュー時に影響範囲の根拠を示す必要があるとき</t>
  </si>
  <si>
    <t xml:space="preserve">シート構成</t>
  </si>
  <si>
    <t xml:space="preserve">シート</t>
  </si>
  <si>
    <t xml:space="preserve">内容</t>
  </si>
  <si>
    <t xml:space="preserve">調査手順</t>
  </si>
  <si>
    <r>
      <rPr>
        <sz val="10"/>
        <rFont val="Noto Sans CJK SC"/>
        <family val="2"/>
      </rPr>
      <t xml:space="preserve">変更点の確定からテスト範囲決定までの</t>
    </r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ステップ</t>
    </r>
  </si>
  <si>
    <t xml:space="preserve">観点チェックリスト</t>
  </si>
  <si>
    <t xml:space="preserve">漏れ防止のための確認観点。該当有無と根拠を記入して使う</t>
  </si>
  <si>
    <t xml:space="preserve">ツール・コマンド例</t>
  </si>
  <si>
    <r>
      <rPr>
        <sz val="10"/>
        <rFont val="Meiryo UI"/>
        <family val="0"/>
        <charset val="1"/>
      </rPr>
      <t xml:space="preserve">grep/rg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IDE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git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DB</t>
    </r>
    <r>
      <rPr>
        <sz val="10"/>
        <rFont val="Noto Sans CJK SC"/>
        <family val="2"/>
      </rPr>
      <t xml:space="preserve">など調査で使う手段の例</t>
    </r>
  </si>
  <si>
    <r>
      <rPr>
        <sz val="10"/>
        <rFont val="Noto Sans CJK SC"/>
        <family val="2"/>
      </rPr>
      <t xml:space="preserve">調査結果</t>
    </r>
    <r>
      <rPr>
        <sz val="10"/>
        <rFont val="Meiryo UI"/>
        <family val="0"/>
        <charset val="1"/>
      </rPr>
      <t xml:space="preserve">_</t>
    </r>
    <r>
      <rPr>
        <sz val="10"/>
        <rFont val="Noto Sans CJK SC"/>
        <family val="2"/>
      </rPr>
      <t xml:space="preserve">テンプレート</t>
    </r>
  </si>
  <si>
    <t xml:space="preserve">調査結果の記載用シート。案件ごとにシートをコピーして使う</t>
  </si>
  <si>
    <t xml:space="preserve">記入例</t>
  </si>
  <si>
    <t xml:space="preserve">テンプレートを具体的な変更ケースで埋めたサンプル</t>
  </si>
  <si>
    <t xml:space="preserve">レビュー観点</t>
  </si>
  <si>
    <t xml:space="preserve">レビュー時の確認ポイントとよくある見落とし</t>
  </si>
  <si>
    <t xml:space="preserve">凡例</t>
  </si>
  <si>
    <r>
      <rPr>
        <sz val="10"/>
        <rFont val="Noto Sans CJK SC"/>
        <family val="2"/>
      </rPr>
      <t xml:space="preserve">黄色セル</t>
    </r>
    <r>
      <rPr>
        <sz val="10"/>
        <rFont val="Meiryo UI"/>
        <family val="0"/>
        <charset val="1"/>
      </rPr>
      <t xml:space="preserve">:</t>
    </r>
    <r>
      <rPr>
        <sz val="10"/>
        <rFont val="Noto Sans CJK SC"/>
        <family val="2"/>
      </rPr>
      <t xml:space="preserve">記入欄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プルダウンがあるセルはリストから選択</t>
    </r>
    <r>
      <rPr>
        <sz val="10"/>
        <rFont val="Meiryo U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</si>
  <si>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青色セル</t>
    </r>
    <r>
      <rPr>
        <sz val="10"/>
        <rFont val="Meiryo UI"/>
        <family val="0"/>
        <charset val="1"/>
      </rPr>
      <t xml:space="preserve">:</t>
    </r>
    <r>
      <rPr>
        <sz val="10"/>
        <rFont val="Noto Sans CJK SC"/>
        <family val="2"/>
      </rPr>
      <t xml:space="preserve">項目名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編集不要</t>
    </r>
    <r>
      <rPr>
        <sz val="10"/>
        <rFont val="Meiryo UI"/>
        <family val="0"/>
        <charset val="1"/>
      </rPr>
      <t xml:space="preserve">)</t>
    </r>
  </si>
  <si>
    <t xml:space="preserve">リスク</t>
  </si>
  <si>
    <r>
      <rPr>
        <sz val="10"/>
        <rFont val="Noto Sans CJK SC"/>
        <family val="2"/>
      </rPr>
      <t xml:space="preserve">「リスク」列は影響度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発生可能性から自動計算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高</t>
    </r>
    <r>
      <rPr>
        <sz val="10"/>
        <rFont val="Meiryo UI"/>
        <family val="0"/>
        <charset val="1"/>
      </rPr>
      <t xml:space="preserve">=</t>
    </r>
    <r>
      <rPr>
        <sz val="10"/>
        <rFont val="Noto Sans CJK SC"/>
        <family val="2"/>
      </rPr>
      <t xml:space="preserve">赤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Meiryo UI"/>
        <family val="0"/>
        <charset val="1"/>
      </rPr>
      <t xml:space="preserve">=</t>
    </r>
    <r>
      <rPr>
        <sz val="10"/>
        <rFont val="Noto Sans CJK SC"/>
        <family val="2"/>
      </rPr>
      <t xml:space="preserve">橙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低</t>
    </r>
    <r>
      <rPr>
        <sz val="10"/>
        <rFont val="Meiryo UI"/>
        <family val="0"/>
        <charset val="1"/>
      </rPr>
      <t xml:space="preserve">=</t>
    </r>
    <r>
      <rPr>
        <sz val="10"/>
        <rFont val="Noto Sans CJK SC"/>
        <family val="2"/>
      </rPr>
      <t xml:space="preserve">緑で色分け</t>
    </r>
    <r>
      <rPr>
        <sz val="10"/>
        <rFont val="Meiryo UI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</si>
  <si>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調査手順</t>
    </r>
    <r>
      <rPr>
        <b val="true"/>
        <sz val="14"/>
        <rFont val="Meiryo UI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変更点 → 直接影響 → 間接影響 → 外部・運用 → テスト範囲</t>
    </r>
    <r>
      <rPr>
        <b val="true"/>
        <sz val="14"/>
        <rFont val="Meiryo UI"/>
        <family val="0"/>
        <charset val="1"/>
      </rPr>
      <t xml:space="preserve">)</t>
    </r>
  </si>
  <si>
    <t xml:space="preserve">No</t>
  </si>
  <si>
    <t xml:space="preserve">ステップ</t>
  </si>
  <si>
    <t xml:space="preserve">実施内容</t>
  </si>
  <si>
    <t xml:space="preserve">確認ポイント</t>
  </si>
  <si>
    <r>
      <rPr>
        <b val="true"/>
        <sz val="10"/>
        <color rgb="FFFFFFFF"/>
        <rFont val="Noto Sans CJK SC"/>
        <family val="2"/>
      </rPr>
      <t xml:space="preserve">記載先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テンプレート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</si>
  <si>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変更点を確定する</t>
  </si>
  <si>
    <r>
      <rPr>
        <sz val="10"/>
        <rFont val="Noto Sans CJK SC"/>
        <family val="2"/>
      </rPr>
      <t xml:space="preserve">変更するファイル・クラス・関数・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・設定キーを列挙する</t>
    </r>
  </si>
  <si>
    <r>
      <rPr>
        <sz val="10"/>
        <rFont val="Noto Sans CJK SC"/>
        <family val="2"/>
      </rPr>
      <t xml:space="preserve">変更種別を区別する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シグネチャ変更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戻り値・例外の変更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内部ロジックのみ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削除・リネーム</t>
    </r>
    <r>
      <rPr>
        <sz val="10"/>
        <rFont val="Meiryo UI"/>
        <family val="0"/>
        <charset val="1"/>
      </rPr>
      <t xml:space="preserve">)</t>
    </r>
    <r>
      <rPr>
        <sz val="10"/>
        <rFont val="Noto Sans CJK SC"/>
        <family val="2"/>
      </rPr>
      <t xml:space="preserve">。内部ロジックのみでも戻り値の値域・副作用・実行時間が変わらないか</t>
    </r>
  </si>
  <si>
    <r>
      <rPr>
        <sz val="10"/>
        <rFont val="Meiryo UI"/>
        <family val="0"/>
        <charset val="1"/>
      </rPr>
      <t xml:space="preserve">2. </t>
    </r>
    <r>
      <rPr>
        <sz val="10"/>
        <rFont val="Noto Sans CJK SC"/>
        <family val="2"/>
      </rPr>
      <t xml:space="preserve">変更内容</t>
    </r>
  </si>
  <si>
    <t xml:space="preserve">直接の参照元を洗い出す</t>
  </si>
  <si>
    <r>
      <rPr>
        <sz val="10"/>
        <rFont val="Meiryo UI"/>
        <family val="0"/>
        <charset val="1"/>
      </rPr>
      <t xml:space="preserve">IDE</t>
    </r>
    <r>
      <rPr>
        <sz val="10"/>
        <rFont val="Noto Sans CJK SC"/>
        <family val="2"/>
      </rPr>
      <t xml:space="preserve">の「参照の検索」「呼び出し階層」で呼び出し元を全件取得する。</t>
    </r>
    <r>
      <rPr>
        <sz val="10"/>
        <rFont val="Meiryo UI"/>
        <family val="0"/>
        <charset val="1"/>
      </rPr>
      <t xml:space="preserve">grep/rg</t>
    </r>
    <r>
      <rPr>
        <sz val="10"/>
        <rFont val="Noto Sans CJK SC"/>
        <family val="2"/>
      </rPr>
      <t xml:space="preserve">で型で追えない参照を補う</t>
    </r>
  </si>
  <si>
    <r>
      <rPr>
        <sz val="10"/>
        <rFont val="Noto Sans CJK SC"/>
        <family val="2"/>
      </rPr>
      <t xml:space="preserve">リフレクション、</t>
    </r>
    <r>
      <rPr>
        <sz val="10"/>
        <rFont val="Meiryo UI"/>
        <family val="0"/>
        <charset val="1"/>
      </rPr>
      <t xml:space="preserve">DI</t>
    </r>
    <r>
      <rPr>
        <sz val="10"/>
        <rFont val="Noto Sans CJK SC"/>
        <family val="2"/>
      </rPr>
      <t xml:space="preserve">設定、テンプレート、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文字列、設定ファイル内のクラス名など文字列参照を見落とさない</t>
    </r>
  </si>
  <si>
    <r>
      <rPr>
        <sz val="10"/>
        <rFont val="Meiryo UI"/>
        <family val="0"/>
        <charset val="1"/>
      </rPr>
      <t xml:space="preserve">3. </t>
    </r>
    <r>
      <rPr>
        <sz val="10"/>
        <rFont val="Noto Sans CJK SC"/>
        <family val="2"/>
      </rPr>
      <t xml:space="preserve">影響範囲一覧</t>
    </r>
  </si>
  <si>
    <t xml:space="preserve">間接影響を追う</t>
  </si>
  <si>
    <r>
      <rPr>
        <sz val="10"/>
        <rFont val="Noto Sans CJK SC"/>
        <family val="2"/>
      </rPr>
      <t xml:space="preserve">呼び出し元をさらに上位へたどり、画面・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・バッチなどのエントリポイントまで追う</t>
    </r>
  </si>
  <si>
    <r>
      <rPr>
        <sz val="10"/>
        <rFont val="Noto Sans CJK SC"/>
        <family val="2"/>
      </rPr>
      <t xml:space="preserve">継承・インターフェース実装・オーバーライド、イベント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コールバック経由の呼び出し</t>
    </r>
  </si>
  <si>
    <t xml:space="preserve">データへの影響を確認する</t>
  </si>
  <si>
    <t xml:space="preserve">読み書きするテーブル・カラム・キャッシュ・ファイル・キューを特定する</t>
  </si>
  <si>
    <t xml:space="preserve">同じデータを使う他機能・他システム、既存データの移行要否、データ件数・値の分布</t>
  </si>
  <si>
    <t xml:space="preserve">外部インターフェースを確認する</t>
  </si>
  <si>
    <r>
      <rPr>
        <sz val="10"/>
        <rFont val="Noto Sans CJK SC"/>
        <family val="2"/>
      </rPr>
      <t xml:space="preserve">公開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、外部連携、ファイル連携、イベント通知の入出力仕様の変化を確認する</t>
    </r>
  </si>
  <si>
    <t xml:space="preserve">連携先システムや旧バージョンのクライアントとの互換性</t>
  </si>
  <si>
    <t xml:space="preserve">非機能・運用への影響を確認する</t>
  </si>
  <si>
    <t xml:space="preserve">性能、トランザクション・排他、セキュリティ・権限、ログ・監視、設定・環境差分、リリース手順を確認する</t>
  </si>
  <si>
    <t xml:space="preserve">件数増加時の性能、ロック競合、権限チェック漏れ、監視アラート条件の変化</t>
  </si>
  <si>
    <t xml:space="preserve">履歴と有識者で裏取りする</t>
  </si>
  <si>
    <r>
      <rPr>
        <sz val="10"/>
        <rFont val="Meiryo UI"/>
        <family val="0"/>
        <charset val="1"/>
      </rPr>
      <t xml:space="preserve">git log/blame</t>
    </r>
    <r>
      <rPr>
        <sz val="10"/>
        <rFont val="Noto Sans CJK SC"/>
        <family val="2"/>
      </rPr>
      <t xml:space="preserve">で過去の関連変更と不具合を確認し、担当者・有識者にヒアリングする</t>
    </r>
  </si>
  <si>
    <t xml:space="preserve">過去に同じ箇所で起きた障害、暗黙の仕様・運用ルール</t>
  </si>
  <si>
    <r>
      <rPr>
        <sz val="10"/>
        <rFont val="Meiryo UI"/>
        <family val="0"/>
        <charset val="1"/>
      </rPr>
      <t xml:space="preserve">3. </t>
    </r>
    <r>
      <rPr>
        <sz val="10"/>
        <rFont val="Noto Sans CJK SC"/>
        <family val="2"/>
      </rPr>
      <t xml:space="preserve">影響範囲一覧 </t>
    </r>
    <r>
      <rPr>
        <sz val="10"/>
        <rFont val="Meiryo UI"/>
        <family val="0"/>
        <charset val="1"/>
      </rPr>
      <t xml:space="preserve">/ 5. </t>
    </r>
    <r>
      <rPr>
        <sz val="10"/>
        <rFont val="Noto Sans CJK SC"/>
        <family val="2"/>
      </rPr>
      <t xml:space="preserve">未確認事項</t>
    </r>
  </si>
  <si>
    <t xml:space="preserve">リスク評価とテスト範囲を決める</t>
  </si>
  <si>
    <r>
      <rPr>
        <sz val="10"/>
        <rFont val="Noto Sans CJK SC"/>
        <family val="2"/>
      </rPr>
      <t xml:space="preserve">影響箇所ごとに影響度と発生可能性を評価し、テストレベル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単体・結合・回帰</t>
    </r>
    <r>
      <rPr>
        <sz val="10"/>
        <rFont val="Meiryo UI"/>
        <family val="0"/>
        <charset val="1"/>
      </rPr>
      <t xml:space="preserve">)</t>
    </r>
    <r>
      <rPr>
        <sz val="10"/>
        <rFont val="Noto Sans CJK SC"/>
        <family val="2"/>
      </rPr>
      <t xml:space="preserve">を割り当てる</t>
    </r>
  </si>
  <si>
    <t xml:space="preserve">確認しきれなかった事項は推測で埋めず「未確認事項」に記載する</t>
  </si>
  <si>
    <r>
      <rPr>
        <sz val="10"/>
        <rFont val="Meiryo UI"/>
        <family val="0"/>
        <charset val="1"/>
      </rPr>
      <t xml:space="preserve">1. </t>
    </r>
    <r>
      <rPr>
        <sz val="10"/>
        <rFont val="Noto Sans CJK SC"/>
        <family val="2"/>
      </rPr>
      <t xml:space="preserve">サマリ </t>
    </r>
    <r>
      <rPr>
        <sz val="10"/>
        <rFont val="Meiryo UI"/>
        <family val="0"/>
        <charset val="1"/>
      </rPr>
      <t xml:space="preserve">/ 4. </t>
    </r>
    <r>
      <rPr>
        <sz val="10"/>
        <rFont val="Noto Sans CJK SC"/>
        <family val="2"/>
      </rPr>
      <t xml:space="preserve">テスト方針 </t>
    </r>
    <r>
      <rPr>
        <sz val="10"/>
        <rFont val="Meiryo UI"/>
        <family val="0"/>
        <charset val="1"/>
      </rPr>
      <t xml:space="preserve">/ 5. </t>
    </r>
    <r>
      <rPr>
        <sz val="10"/>
        <rFont val="Noto Sans CJK SC"/>
        <family val="2"/>
      </rPr>
      <t xml:space="preserve">未確認事項</t>
    </r>
  </si>
  <si>
    <t xml:space="preserve">全項目について該当有無を選択し、「該当なし」も判断根拠を記入する。</t>
  </si>
  <si>
    <t xml:space="preserve">分類</t>
  </si>
  <si>
    <t xml:space="preserve">確認観点</t>
  </si>
  <si>
    <t xml:space="preserve">主な確認方法</t>
  </si>
  <si>
    <t xml:space="preserve">該当有無</t>
  </si>
  <si>
    <t xml:space="preserve">根拠・備考</t>
  </si>
  <si>
    <t xml:space="preserve">コード</t>
  </si>
  <si>
    <r>
      <rPr>
        <sz val="10"/>
        <rFont val="Noto Sans CJK SC"/>
        <family val="2"/>
      </rPr>
      <t xml:space="preserve">直接の呼び出し元・継承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実装クラス</t>
    </r>
  </si>
  <si>
    <r>
      <rPr>
        <sz val="10"/>
        <rFont val="Meiryo UI"/>
        <family val="0"/>
        <charset val="1"/>
      </rPr>
      <t xml:space="preserve">IDE</t>
    </r>
    <r>
      <rPr>
        <sz val="10"/>
        <rFont val="Noto Sans CJK SC"/>
        <family val="2"/>
      </rPr>
      <t xml:space="preserve">参照検索、呼び出し階層</t>
    </r>
  </si>
  <si>
    <r>
      <rPr>
        <sz val="10"/>
        <rFont val="Noto Sans CJK SC"/>
        <family val="2"/>
      </rPr>
      <t xml:space="preserve">リフレクション、</t>
    </r>
    <r>
      <rPr>
        <sz val="10"/>
        <rFont val="Meiryo UI"/>
        <family val="0"/>
        <charset val="1"/>
      </rPr>
      <t xml:space="preserve">DI</t>
    </r>
    <r>
      <rPr>
        <sz val="10"/>
        <rFont val="Noto Sans CJK SC"/>
        <family val="2"/>
      </rPr>
      <t xml:space="preserve">、文字列での参照</t>
    </r>
  </si>
  <si>
    <r>
      <rPr>
        <sz val="10"/>
        <rFont val="Meiryo UI"/>
        <family val="0"/>
        <charset val="1"/>
      </rPr>
      <t xml:space="preserve">grep/rg</t>
    </r>
    <r>
      <rPr>
        <sz val="10"/>
        <rFont val="Noto Sans CJK SC"/>
        <family val="2"/>
      </rPr>
      <t xml:space="preserve">、設定ファイル検索</t>
    </r>
  </si>
  <si>
    <t xml:space="preserve">共通部品・ユーティリティの利用箇所</t>
  </si>
  <si>
    <t xml:space="preserve">参照検索、依存グラフ</t>
  </si>
  <si>
    <r>
      <rPr>
        <sz val="10"/>
        <rFont val="Noto Sans CJK SC"/>
        <family val="2"/>
      </rPr>
      <t xml:space="preserve">画面</t>
    </r>
    <r>
      <rPr>
        <sz val="10"/>
        <rFont val="Meiryo UI"/>
        <family val="0"/>
        <charset val="1"/>
      </rPr>
      <t xml:space="preserve">/API</t>
    </r>
  </si>
  <si>
    <r>
      <rPr>
        <sz val="10"/>
        <rFont val="Noto Sans CJK SC"/>
        <family val="2"/>
      </rPr>
      <t xml:space="preserve">影響する画面・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エンドポイント</t>
    </r>
  </si>
  <si>
    <r>
      <rPr>
        <sz val="10"/>
        <rFont val="Noto Sans CJK SC"/>
        <family val="2"/>
      </rPr>
      <t xml:space="preserve">ルーティング定義、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定義書</t>
    </r>
  </si>
  <si>
    <r>
      <rPr>
        <sz val="10"/>
        <rFont val="Noto Sans CJK SC"/>
        <family val="2"/>
      </rPr>
      <t xml:space="preserve">バッチ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ジョブ</t>
    </r>
  </si>
  <si>
    <t xml:space="preserve">定期実行・非同期処理・キュー消費者</t>
  </si>
  <si>
    <t xml:space="preserve">ジョブ定義、スケジューラ設定</t>
  </si>
  <si>
    <t xml:space="preserve">データ</t>
  </si>
  <si>
    <t xml:space="preserve">テーブル・カラムの読み書き箇所</t>
  </si>
  <si>
    <r>
      <rPr>
        <sz val="10"/>
        <rFont val="Meiryo UI"/>
        <family val="0"/>
        <charset val="1"/>
      </rPr>
      <t xml:space="preserve">SQL/ORM</t>
    </r>
    <r>
      <rPr>
        <sz val="10"/>
        <rFont val="Noto Sans CJK SC"/>
        <family val="2"/>
      </rPr>
      <t xml:space="preserve">検索、</t>
    </r>
    <r>
      <rPr>
        <sz val="10"/>
        <rFont val="Meiryo UI"/>
        <family val="0"/>
        <charset val="1"/>
      </rPr>
      <t xml:space="preserve">ER</t>
    </r>
    <r>
      <rPr>
        <sz val="10"/>
        <rFont val="Noto Sans CJK SC"/>
        <family val="2"/>
      </rPr>
      <t xml:space="preserve">図</t>
    </r>
  </si>
  <si>
    <t xml:space="preserve">既存データの移行・互換性</t>
  </si>
  <si>
    <t xml:space="preserve">データ件数・値の分布確認</t>
  </si>
  <si>
    <t xml:space="preserve">キャッシュ・セッション・ファイル</t>
  </si>
  <si>
    <t xml:space="preserve">キャッシュキー検索</t>
  </si>
  <si>
    <t xml:space="preserve">外部連携</t>
  </si>
  <si>
    <t xml:space="preserve">外部システム・クライアントへの入出力</t>
  </si>
  <si>
    <r>
      <rPr>
        <sz val="10"/>
        <rFont val="Meiryo UI"/>
        <family val="0"/>
        <charset val="1"/>
      </rPr>
      <t xml:space="preserve">IF</t>
    </r>
    <r>
      <rPr>
        <sz val="10"/>
        <rFont val="Noto Sans CJK SC"/>
        <family val="2"/>
      </rPr>
      <t xml:space="preserve">仕様書、連携先への確認</t>
    </r>
  </si>
  <si>
    <t xml:space="preserve">設定</t>
  </si>
  <si>
    <t xml:space="preserve">設定値・環境変数・フィーチャーフラグ</t>
  </si>
  <si>
    <t xml:space="preserve">環境別設定ファイルの差分</t>
  </si>
  <si>
    <t xml:space="preserve">非機能</t>
  </si>
  <si>
    <r>
      <rPr>
        <sz val="10"/>
        <rFont val="Noto Sans CJK SC"/>
        <family val="2"/>
      </rPr>
      <t xml:space="preserve">性能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件数増、</t>
    </r>
    <r>
      <rPr>
        <sz val="10"/>
        <rFont val="Meiryo UI"/>
        <family val="0"/>
        <charset val="1"/>
      </rPr>
      <t xml:space="preserve">N+1</t>
    </r>
    <r>
      <rPr>
        <sz val="10"/>
        <rFont val="Noto Sans CJK SC"/>
        <family val="2"/>
      </rPr>
      <t xml:space="preserve">、ロック</t>
    </r>
    <r>
      <rPr>
        <sz val="10"/>
        <rFont val="Meiryo UI"/>
        <family val="0"/>
        <charset val="1"/>
      </rPr>
      <t xml:space="preserve">)</t>
    </r>
  </si>
  <si>
    <t xml:space="preserve">実行計画、負荷試験結果</t>
  </si>
  <si>
    <t xml:space="preserve">セキュリティ・権限・入力チェック</t>
  </si>
  <si>
    <t xml:space="preserve">権限定義、セキュリティ要件</t>
  </si>
  <si>
    <t xml:space="preserve">運用</t>
  </si>
  <si>
    <t xml:space="preserve">ログ・監視・アラート・帳票</t>
  </si>
  <si>
    <t xml:space="preserve">ログ出力箇所、監視設定</t>
  </si>
  <si>
    <t xml:space="preserve">リリース手順・ロールバック可否</t>
  </si>
  <si>
    <t xml:space="preserve">リリース手順書</t>
  </si>
  <si>
    <t xml:space="preserve">ドキュメント</t>
  </si>
  <si>
    <t xml:space="preserve">設計書・仕様書・マニュアルの更新</t>
  </si>
  <si>
    <t xml:space="preserve">ドキュメント管理場所</t>
  </si>
  <si>
    <t xml:space="preserve">ツール</t>
  </si>
  <si>
    <t xml:space="preserve">コマンド・操作例</t>
  </si>
  <si>
    <t xml:space="preserve">補足</t>
  </si>
  <si>
    <t xml:space="preserve">呼び出し元の検索</t>
  </si>
  <si>
    <t xml:space="preserve">IDE</t>
  </si>
  <si>
    <r>
      <rPr>
        <sz val="10"/>
        <rFont val="Meiryo UI"/>
        <family val="0"/>
        <charset val="1"/>
      </rPr>
      <t xml:space="preserve">IntelliJ: Find Usages(Alt+F7)/Call Hierarchy(Ctrl+Alt+H)
VS Code: </t>
    </r>
    <r>
      <rPr>
        <sz val="10"/>
        <rFont val="Noto Sans CJK SC"/>
        <family val="2"/>
      </rPr>
      <t xml:space="preserve">すべての参照を検索</t>
    </r>
    <r>
      <rPr>
        <sz val="10"/>
        <rFont val="Meiryo UI"/>
        <family val="0"/>
        <charset val="1"/>
      </rPr>
      <t xml:space="preserve">(Shift+F12)/</t>
    </r>
    <r>
      <rPr>
        <sz val="10"/>
        <rFont val="Noto Sans CJK SC"/>
        <family val="2"/>
      </rPr>
      <t xml:space="preserve">呼び出し階層の表示</t>
    </r>
  </si>
  <si>
    <t xml:space="preserve">型で解決できる参照を漏れなく取得できる。結果はエクスポートして添付</t>
  </si>
  <si>
    <t xml:space="preserve">文字列参照の検索</t>
  </si>
  <si>
    <t xml:space="preserve">ripgrep</t>
  </si>
  <si>
    <t xml:space="preserve">rg -n "calcTax" --type java
rg -n -w "order_amount" -g "*.sql" -g "*.xml"</t>
  </si>
  <si>
    <r>
      <rPr>
        <sz val="10"/>
        <rFont val="Meiryo UI"/>
        <family val="0"/>
        <charset val="1"/>
      </rPr>
      <t xml:space="preserve">-w </t>
    </r>
    <r>
      <rPr>
        <sz val="10"/>
        <rFont val="Noto Sans CJK SC"/>
        <family val="2"/>
      </rPr>
      <t xml:space="preserve">で単語一致、</t>
    </r>
    <r>
      <rPr>
        <sz val="10"/>
        <rFont val="Meiryo UI"/>
        <family val="0"/>
        <charset val="1"/>
      </rPr>
      <t xml:space="preserve">-g </t>
    </r>
    <r>
      <rPr>
        <sz val="10"/>
        <rFont val="Noto Sans CJK SC"/>
        <family val="2"/>
      </rPr>
      <t xml:space="preserve">で対象ファイルを絞る。設定・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・テンプレートも対象に</t>
    </r>
  </si>
  <si>
    <t xml:space="preserve">git grep</t>
  </si>
  <si>
    <t xml:space="preserve">git grep -n "calcTax" -- "*.java" "*.xml"</t>
  </si>
  <si>
    <r>
      <rPr>
        <sz val="10"/>
        <rFont val="Meiryo UI"/>
        <family val="0"/>
        <charset val="1"/>
      </rPr>
      <t xml:space="preserve">Git</t>
    </r>
    <r>
      <rPr>
        <sz val="10"/>
        <rFont val="Noto Sans CJK SC"/>
        <family val="2"/>
      </rPr>
      <t xml:space="preserve">管理下のファイルのみ高速に検索</t>
    </r>
  </si>
  <si>
    <t xml:space="preserve">変更点の把握</t>
  </si>
  <si>
    <t xml:space="preserve">git diff</t>
  </si>
  <si>
    <t xml:space="preserve">git diff --stat main...feature/xxx
git diff main...feature/xxx -- src/</t>
  </si>
  <si>
    <t xml:space="preserve">変更ファイル一覧と差分を確認</t>
  </si>
  <si>
    <t xml:space="preserve">過去の変更履歴</t>
  </si>
  <si>
    <t xml:space="preserve">git log</t>
  </si>
  <si>
    <t xml:space="preserve">git log --oneline -- src/order/TaxCalculator.java
git log -S "calcTax" --oneline</t>
  </si>
  <si>
    <r>
      <rPr>
        <sz val="10"/>
        <rFont val="Meiryo UI"/>
        <family val="0"/>
        <charset val="1"/>
      </rPr>
      <t xml:space="preserve">-S </t>
    </r>
    <r>
      <rPr>
        <sz val="10"/>
        <rFont val="Noto Sans CJK SC"/>
        <family val="2"/>
      </rPr>
      <t xml:space="preserve">で文字列の追加・削除があったコミットを検索</t>
    </r>
  </si>
  <si>
    <t xml:space="preserve">行ごとの経緯</t>
  </si>
  <si>
    <t xml:space="preserve">git blame</t>
  </si>
  <si>
    <t xml:space="preserve">git blame -L 40,80 src/order/TaxCalculator.java</t>
  </si>
  <si>
    <t xml:space="preserve">変更理由・関連チケットを確認する</t>
  </si>
  <si>
    <t xml:space="preserve">依存関係の可視化</t>
  </si>
  <si>
    <t xml:space="preserve">依存解析ツール</t>
  </si>
  <si>
    <r>
      <rPr>
        <sz val="10"/>
        <rFont val="Meiryo UI"/>
        <family val="0"/>
        <charset val="1"/>
      </rPr>
      <t xml:space="preserve">Java: jdeps / mvn dependency:tree
JS/TS: madge --image graph.svg src/
Python: pydeps </t>
    </r>
    <r>
      <rPr>
        <sz val="10"/>
        <rFont val="Noto Sans CJK SC"/>
        <family val="2"/>
      </rPr>
      <t xml:space="preserve">パッケージ名</t>
    </r>
  </si>
  <si>
    <t xml:space="preserve">モジュール間・ライブラリの依存を把握</t>
  </si>
  <si>
    <r>
      <rPr>
        <sz val="10"/>
        <rFont val="Meiryo UI"/>
        <family val="0"/>
        <charset val="1"/>
      </rPr>
      <t xml:space="preserve">DB</t>
    </r>
    <r>
      <rPr>
        <sz val="10"/>
        <rFont val="Noto Sans CJK SC"/>
        <family val="2"/>
      </rPr>
      <t xml:space="preserve">利用箇所</t>
    </r>
  </si>
  <si>
    <t xml:space="preserve">DB</t>
  </si>
  <si>
    <r>
      <rPr>
        <sz val="10"/>
        <rFont val="Meiryo UI"/>
        <family val="0"/>
        <charset val="1"/>
      </rPr>
      <t xml:space="preserve">SQL/ORM</t>
    </r>
    <r>
      <rPr>
        <sz val="10"/>
        <rFont val="Noto Sans CJK SC"/>
        <family val="2"/>
      </rPr>
      <t xml:space="preserve">マッピング・ストアド・ビュー・トリガーをカラム名で検索
例</t>
    </r>
    <r>
      <rPr>
        <sz val="10"/>
        <rFont val="Meiryo UI"/>
        <family val="0"/>
        <charset val="1"/>
      </rPr>
      <t xml:space="preserve">: rg -n -i "order_amount"</t>
    </r>
  </si>
  <si>
    <t xml:space="preserve">ビュー・トリガー・他システムの直接参照も確認</t>
  </si>
  <si>
    <t xml:space="preserve">データ分布の確認</t>
  </si>
  <si>
    <t xml:space="preserve">SELECT COUNT(*), MIN(col), MAX(col) FROM t;</t>
  </si>
  <si>
    <r>
      <rPr>
        <sz val="10"/>
        <rFont val="Noto Sans CJK SC"/>
        <family val="2"/>
      </rPr>
      <t xml:space="preserve">移行要否・境界値テストの材料にする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本番照会は手順に従う</t>
    </r>
    <r>
      <rPr>
        <sz val="10"/>
        <rFont val="Meiryo UI"/>
        <family val="0"/>
        <charset val="1"/>
      </rPr>
      <t xml:space="preserve">)</t>
    </r>
  </si>
  <si>
    <t xml:space="preserve">実行時の確認</t>
  </si>
  <si>
    <r>
      <rPr>
        <sz val="10"/>
        <rFont val="Noto Sans CJK SC"/>
        <family val="2"/>
      </rPr>
      <t xml:space="preserve">ログ</t>
    </r>
    <r>
      <rPr>
        <sz val="10"/>
        <rFont val="Meiryo UI"/>
        <family val="0"/>
        <charset val="1"/>
      </rPr>
      <t xml:space="preserve">/APM</t>
    </r>
  </si>
  <si>
    <r>
      <rPr>
        <sz val="10"/>
        <rFont val="Noto Sans CJK SC"/>
        <family val="2"/>
      </rPr>
      <t xml:space="preserve">アクセスログ・</t>
    </r>
    <r>
      <rPr>
        <sz val="10"/>
        <rFont val="Meiryo UI"/>
        <family val="0"/>
        <charset val="1"/>
      </rPr>
      <t xml:space="preserve">APM</t>
    </r>
    <r>
      <rPr>
        <sz val="10"/>
        <rFont val="Noto Sans CJK SC"/>
        <family val="2"/>
      </rPr>
      <t xml:space="preserve">で対象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や関数の呼び出し頻度・呼び出し元を確認</t>
    </r>
  </si>
  <si>
    <t xml:space="preserve">静的解析で追えない動的な呼び出しの裏取り</t>
  </si>
  <si>
    <t xml:space="preserve">影響範囲調査結果</t>
  </si>
  <si>
    <t xml:space="preserve">黄色セルに記入。案件ごとにこのシートをコピーして使用する。</t>
  </si>
  <si>
    <r>
      <rPr>
        <b val="true"/>
        <sz val="11"/>
        <color rgb="FF1F3864"/>
        <rFont val="Meiryo UI"/>
        <family val="0"/>
        <charset val="1"/>
      </rPr>
      <t xml:space="preserve">1. </t>
    </r>
    <r>
      <rPr>
        <b val="true"/>
        <sz val="11"/>
        <color rgb="FF1F3864"/>
        <rFont val="Noto Sans CJK SC"/>
        <family val="2"/>
      </rPr>
      <t xml:space="preserve">基本情報・サマリ</t>
    </r>
  </si>
  <si>
    <t xml:space="preserve">案件名</t>
  </si>
  <si>
    <t xml:space="preserve">チケット番号</t>
  </si>
  <si>
    <t xml:space="preserve">調査者</t>
  </si>
  <si>
    <t xml:space="preserve">調査日</t>
  </si>
  <si>
    <t xml:space="preserve">レビュー者</t>
  </si>
  <si>
    <r>
      <rPr>
        <b val="true"/>
        <sz val="10"/>
        <rFont val="Noto Sans CJK SC"/>
        <family val="2"/>
      </rPr>
      <t xml:space="preserve">対象ブランチ</t>
    </r>
    <r>
      <rPr>
        <b val="true"/>
        <sz val="10"/>
        <rFont val="Meiryo UI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コミット</t>
    </r>
  </si>
  <si>
    <t xml:space="preserve">変更概要</t>
  </si>
  <si>
    <r>
      <rPr>
        <b val="true"/>
        <sz val="10"/>
        <rFont val="Noto Sans CJK SC"/>
        <family val="2"/>
      </rPr>
      <t xml:space="preserve">結論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影響範囲の要約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</si>
  <si>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1"/>
        <color rgb="FF1F3864"/>
        <rFont val="Meiryo UI"/>
        <family val="0"/>
        <charset val="1"/>
      </rPr>
      <t xml:space="preserve">2. </t>
    </r>
    <r>
      <rPr>
        <b val="true"/>
        <sz val="11"/>
        <color rgb="FF1F3864"/>
        <rFont val="Noto Sans CJK SC"/>
        <family val="2"/>
      </rPr>
      <t xml:space="preserve">変更内容</t>
    </r>
  </si>
  <si>
    <r>
      <rPr>
        <b val="true"/>
        <sz val="10"/>
        <color rgb="FFFFFFFF"/>
        <rFont val="Noto Sans CJK SC"/>
        <family val="2"/>
      </rPr>
      <t xml:space="preserve">変更対象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ファイル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クラス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関数</t>
    </r>
    <r>
      <rPr>
        <b val="true"/>
        <sz val="10"/>
        <color rgb="FFFFFFFF"/>
        <rFont val="Meiryo UI"/>
        <family val="0"/>
        <charset val="1"/>
      </rPr>
      <t xml:space="preserve">/SQL/</t>
    </r>
    <r>
      <rPr>
        <b val="true"/>
        <sz val="10"/>
        <color rgb="FFFFFFFF"/>
        <rFont val="Noto Sans CJK SC"/>
        <family val="2"/>
      </rPr>
      <t xml:space="preserve">設定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</si>
  <si>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変更種別</t>
  </si>
  <si>
    <t xml:space="preserve">変更内容</t>
  </si>
  <si>
    <r>
      <rPr>
        <b val="true"/>
        <sz val="11"/>
        <color rgb="FF1F3864"/>
        <rFont val="Meiryo UI"/>
        <family val="0"/>
        <charset val="1"/>
      </rPr>
      <t xml:space="preserve">3. </t>
    </r>
    <r>
      <rPr>
        <b val="true"/>
        <sz val="11"/>
        <color rgb="FF1F3864"/>
        <rFont val="Noto Sans CJK SC"/>
        <family val="2"/>
      </rPr>
      <t xml:space="preserve">影響範囲一覧</t>
    </r>
  </si>
  <si>
    <r>
      <rPr>
        <sz val="9"/>
        <color rgb="FF595959"/>
        <rFont val="Noto Sans CJK SC"/>
        <family val="2"/>
      </rPr>
      <t xml:space="preserve">リスク </t>
    </r>
    <r>
      <rPr>
        <sz val="9"/>
        <color rgb="FF595959"/>
        <rFont val="Meiryo UI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影響度</t>
    </r>
    <r>
      <rPr>
        <sz val="9"/>
        <color rgb="FF595959"/>
        <rFont val="Meiryo U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発生可能性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高</t>
    </r>
    <r>
      <rPr>
        <sz val="9"/>
        <color rgb="FF595959"/>
        <rFont val="Meiryo UI"/>
        <family val="0"/>
        <charset val="1"/>
      </rPr>
      <t xml:space="preserve">=3/</t>
    </r>
    <r>
      <rPr>
        <sz val="9"/>
        <color rgb="FF595959"/>
        <rFont val="Noto Sans CJK SC"/>
        <family val="2"/>
      </rPr>
      <t xml:space="preserve">中</t>
    </r>
    <r>
      <rPr>
        <sz val="9"/>
        <color rgb="FF595959"/>
        <rFont val="Meiryo UI"/>
        <family val="0"/>
        <charset val="1"/>
      </rPr>
      <t xml:space="preserve">=2/</t>
    </r>
    <r>
      <rPr>
        <sz val="9"/>
        <color rgb="FF595959"/>
        <rFont val="Noto Sans CJK SC"/>
        <family val="2"/>
      </rPr>
      <t xml:space="preserve">低</t>
    </r>
    <r>
      <rPr>
        <sz val="9"/>
        <color rgb="FF595959"/>
        <rFont val="Meiryo UI"/>
        <family val="0"/>
        <charset val="1"/>
      </rPr>
      <t xml:space="preserve">=1)</t>
    </r>
    <r>
      <rPr>
        <sz val="9"/>
        <color rgb="FF595959"/>
        <rFont val="Noto Sans CJK SC"/>
        <family val="2"/>
      </rPr>
      <t xml:space="preserve">の積が</t>
    </r>
    <r>
      <rPr>
        <sz val="9"/>
        <color rgb="FF595959"/>
        <rFont val="Meiryo UI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以上で高、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で中、</t>
    </r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以下で低。自動計算のため入力不要。</t>
    </r>
  </si>
  <si>
    <t xml:space="preserve">影響対象</t>
  </si>
  <si>
    <t xml:space="preserve">種別</t>
  </si>
  <si>
    <t xml:space="preserve">影響内容</t>
  </si>
  <si>
    <t xml:space="preserve">影響度</t>
  </si>
  <si>
    <t xml:space="preserve">発生可能性</t>
  </si>
  <si>
    <t xml:space="preserve">対応要否</t>
  </si>
  <si>
    <t xml:space="preserve">テスト方針</t>
  </si>
  <si>
    <t xml:space="preserve">根拠・確認方法</t>
  </si>
  <si>
    <t xml:space="preserve">担当</t>
  </si>
  <si>
    <t xml:space="preserve">状態</t>
  </si>
  <si>
    <t xml:space="preserve">集計</t>
  </si>
  <si>
    <t xml:space="preserve">影響箇所 件数</t>
  </si>
  <si>
    <t xml:space="preserve">リスク高</t>
  </si>
  <si>
    <t xml:space="preserve">リスク中</t>
  </si>
  <si>
    <t xml:space="preserve">リスク低</t>
  </si>
  <si>
    <t xml:space="preserve">対応要</t>
  </si>
  <si>
    <t xml:space="preserve">要確認</t>
  </si>
  <si>
    <t xml:space="preserve">完了</t>
  </si>
  <si>
    <r>
      <rPr>
        <b val="true"/>
        <sz val="11"/>
        <color rgb="FF1F3864"/>
        <rFont val="Meiryo UI"/>
        <family val="0"/>
        <charset val="1"/>
      </rPr>
      <t xml:space="preserve">4. </t>
    </r>
    <r>
      <rPr>
        <b val="true"/>
        <sz val="11"/>
        <color rgb="FF1F3864"/>
        <rFont val="Noto Sans CJK SC"/>
        <family val="2"/>
      </rPr>
      <t xml:space="preserve">テスト方針</t>
    </r>
  </si>
  <si>
    <t xml:space="preserve">テストレベル</t>
  </si>
  <si>
    <t xml:space="preserve">対象・範囲</t>
  </si>
  <si>
    <t xml:space="preserve">観点・データ</t>
  </si>
  <si>
    <r>
      <rPr>
        <b val="true"/>
        <sz val="11"/>
        <color rgb="FF1F3864"/>
        <rFont val="Meiryo UI"/>
        <family val="0"/>
        <charset val="1"/>
      </rPr>
      <t xml:space="preserve">5. </t>
    </r>
    <r>
      <rPr>
        <b val="true"/>
        <sz val="11"/>
        <color rgb="FF1F3864"/>
        <rFont val="Noto Sans CJK SC"/>
        <family val="2"/>
      </rPr>
      <t xml:space="preserve">未確認事項・前提</t>
    </r>
  </si>
  <si>
    <t xml:space="preserve">確認先</t>
  </si>
  <si>
    <t xml:space="preserve">期限</t>
  </si>
  <si>
    <r>
      <rPr>
        <b val="true"/>
        <sz val="14"/>
        <rFont val="Noto Sans CJK SC"/>
        <family val="2"/>
      </rPr>
      <t xml:space="preserve">影響範囲調査結果</t>
    </r>
    <r>
      <rPr>
        <b val="true"/>
        <sz val="14"/>
        <rFont val="Meiryo UI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記入例</t>
    </r>
    <r>
      <rPr>
        <b val="true"/>
        <sz val="14"/>
        <rFont val="Meiryo UI"/>
        <family val="0"/>
        <charset val="1"/>
      </rPr>
      <t xml:space="preserve">)</t>
    </r>
  </si>
  <si>
    <t xml:space="preserve">架空の変更ケースで記入したサンプル。</t>
  </si>
  <si>
    <t xml:space="preserve">注文金額の消費税端数処理を「切り捨て」から「四捨五入」に変更</t>
  </si>
  <si>
    <t xml:space="preserve">ORD-1234</t>
  </si>
  <si>
    <t xml:space="preserve">山田</t>
  </si>
  <si>
    <t xml:space="preserve">2026-10-13</t>
  </si>
  <si>
    <t xml:space="preserve">佐藤</t>
  </si>
  <si>
    <t xml:space="preserve">feature/ORD-1234-tax-rounding(abc1234)</t>
  </si>
  <si>
    <r>
      <rPr>
        <sz val="10"/>
        <rFont val="Meiryo UI"/>
        <family val="0"/>
        <charset val="1"/>
      </rPr>
      <t xml:space="preserve">TaxCalculator.calcTax() </t>
    </r>
    <r>
      <rPr>
        <sz val="10"/>
        <rFont val="Noto Sans CJK SC"/>
        <family val="2"/>
      </rPr>
      <t xml:space="preserve">の端数処理を切り捨てから四捨五入に変更する。インボイス対応で請求書と画面表示の税額を一致させるため。</t>
    </r>
  </si>
  <si>
    <r>
      <rPr>
        <sz val="10"/>
        <rFont val="Meiryo UI"/>
        <family val="0"/>
        <charset val="1"/>
      </rPr>
      <t xml:space="preserve">calcTax() </t>
    </r>
    <r>
      <rPr>
        <sz val="10"/>
        <rFont val="Noto Sans CJK SC"/>
        <family val="2"/>
      </rPr>
      <t xml:space="preserve">は注文確定画面・注文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・月次請求バッチ・</t>
    </r>
    <r>
      <rPr>
        <sz val="10"/>
        <rFont val="Meiryo UI"/>
        <family val="0"/>
        <charset val="1"/>
      </rPr>
      <t xml:space="preserve">CSV</t>
    </r>
    <r>
      <rPr>
        <sz val="10"/>
        <rFont val="Noto Sans CJK SC"/>
        <family val="2"/>
      </rPr>
      <t xml:space="preserve">連携の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経路から利用されている。税額が最大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円増えるため、請求書と会計連携</t>
    </r>
    <r>
      <rPr>
        <sz val="10"/>
        <rFont val="Meiryo UI"/>
        <family val="0"/>
        <charset val="1"/>
      </rPr>
      <t xml:space="preserve">CSV</t>
    </r>
    <r>
      <rPr>
        <sz val="10"/>
        <rFont val="Noto Sans CJK SC"/>
        <family val="2"/>
      </rPr>
      <t xml:space="preserve">の照合ロジックにリスク高の影響あり。既存注文データの再計算は不要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新規注文から適用</t>
    </r>
    <r>
      <rPr>
        <sz val="10"/>
        <rFont val="Meiryo UI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</si>
  <si>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src/order/TaxCalculator.java  calcTax()</t>
  </si>
  <si>
    <t xml:space="preserve">内部ロジック</t>
  </si>
  <si>
    <r>
      <rPr>
        <sz val="10"/>
        <rFont val="Meiryo UI"/>
        <family val="0"/>
        <charset val="1"/>
      </rPr>
      <t xml:space="preserve">RoundingMode.DOWN → RoundingMode.HALF_UP </t>
    </r>
    <r>
      <rPr>
        <sz val="10"/>
        <rFont val="Noto Sans CJK SC"/>
        <family val="2"/>
      </rPr>
      <t xml:space="preserve">に変更。シグネチャ・戻り値型は変更なし</t>
    </r>
  </si>
  <si>
    <t xml:space="preserve">src/config/application.yml  tax.rounding</t>
  </si>
  <si>
    <t xml:space="preserve">設定変更</t>
  </si>
  <si>
    <r>
      <rPr>
        <sz val="10"/>
        <rFont val="Noto Sans CJK SC"/>
        <family val="2"/>
      </rPr>
      <t xml:space="preserve">端数処理モードを設定値化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デフォルト </t>
    </r>
    <r>
      <rPr>
        <sz val="10"/>
        <rFont val="Meiryo UI"/>
        <family val="0"/>
        <charset val="1"/>
      </rPr>
      <t xml:space="preserve">HALF_UP)</t>
    </r>
  </si>
  <si>
    <r>
      <rPr>
        <sz val="10"/>
        <rFont val="Noto Sans CJK SC"/>
        <family val="2"/>
      </rPr>
      <t xml:space="preserve">注文確定画面</t>
    </r>
    <r>
      <rPr>
        <sz val="10"/>
        <rFont val="Meiryo UI"/>
        <family val="0"/>
        <charset val="1"/>
      </rPr>
      <t xml:space="preserve">(OrderConfirmController)</t>
    </r>
  </si>
  <si>
    <t xml:space="preserve">画面</t>
  </si>
  <si>
    <r>
      <rPr>
        <sz val="10"/>
        <rFont val="Noto Sans CJK SC"/>
        <family val="2"/>
      </rPr>
      <t xml:space="preserve">表示税額・合計金額が最大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円増える</t>
    </r>
  </si>
  <si>
    <t xml:space="preserve">中</t>
  </si>
  <si>
    <t xml:space="preserve">高</t>
  </si>
  <si>
    <t xml:space="preserve">要</t>
  </si>
  <si>
    <r>
      <rPr>
        <sz val="10"/>
        <rFont val="Noto Sans CJK SC"/>
        <family val="2"/>
      </rPr>
      <t xml:space="preserve">結合</t>
    </r>
    <r>
      <rPr>
        <sz val="10"/>
        <rFont val="Meiryo UI"/>
        <family val="0"/>
        <charset val="1"/>
      </rPr>
      <t xml:space="preserve">:</t>
    </r>
    <r>
      <rPr>
        <sz val="10"/>
        <rFont val="Noto Sans CJK SC"/>
        <family val="2"/>
      </rPr>
      <t xml:space="preserve">端数が出る金額で表示確認</t>
    </r>
  </si>
  <si>
    <r>
      <rPr>
        <sz val="10"/>
        <rFont val="Meiryo UI"/>
        <family val="0"/>
        <charset val="1"/>
      </rPr>
      <t xml:space="preserve">Find Usages</t>
    </r>
    <r>
      <rPr>
        <sz val="10"/>
        <rFont val="Noto Sans CJK SC"/>
        <family val="2"/>
      </rPr>
      <t xml:space="preserve">で直接参照を確認</t>
    </r>
  </si>
  <si>
    <t xml:space="preserve">対応中</t>
  </si>
  <si>
    <r>
      <rPr>
        <sz val="10"/>
        <rFont val="Noto Sans CJK SC"/>
        <family val="2"/>
      </rPr>
      <t xml:space="preserve">注文</t>
    </r>
    <r>
      <rPr>
        <sz val="10"/>
        <rFont val="Meiryo UI"/>
        <family val="0"/>
        <charset val="1"/>
      </rPr>
      <t xml:space="preserve">API POST /api/orders</t>
    </r>
  </si>
  <si>
    <t xml:space="preserve">API</t>
  </si>
  <si>
    <r>
      <rPr>
        <sz val="10"/>
        <rFont val="Noto Sans CJK SC"/>
        <family val="2"/>
      </rPr>
      <t xml:space="preserve">レスポンスの </t>
    </r>
    <r>
      <rPr>
        <sz val="10"/>
        <rFont val="Meiryo UI"/>
        <family val="0"/>
        <charset val="1"/>
      </rPr>
      <t xml:space="preserve">tax / total </t>
    </r>
    <r>
      <rPr>
        <sz val="10"/>
        <rFont val="Noto Sans CJK SC"/>
        <family val="2"/>
      </rPr>
      <t xml:space="preserve">が最大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円増える</t>
    </r>
  </si>
  <si>
    <r>
      <rPr>
        <sz val="10"/>
        <rFont val="Noto Sans CJK SC"/>
        <family val="2"/>
      </rPr>
      <t xml:space="preserve">結合</t>
    </r>
    <r>
      <rPr>
        <sz val="10"/>
        <rFont val="Meiryo UI"/>
        <family val="0"/>
        <charset val="1"/>
      </rPr>
      <t xml:space="preserve">:API</t>
    </r>
    <r>
      <rPr>
        <sz val="10"/>
        <rFont val="Noto Sans CJK SC"/>
        <family val="2"/>
      </rPr>
      <t xml:space="preserve">レスポンス差分確認</t>
    </r>
  </si>
  <si>
    <r>
      <rPr>
        <sz val="10"/>
        <rFont val="Meiryo UI"/>
        <family val="0"/>
        <charset val="1"/>
      </rPr>
      <t xml:space="preserve">Find Usages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定義書</t>
    </r>
  </si>
  <si>
    <t xml:space="preserve">未着手</t>
  </si>
  <si>
    <r>
      <rPr>
        <sz val="10"/>
        <rFont val="Noto Sans CJK SC"/>
        <family val="2"/>
      </rPr>
      <t xml:space="preserve">月次請求バッチ</t>
    </r>
    <r>
      <rPr>
        <sz val="10"/>
        <rFont val="Meiryo UI"/>
        <family val="0"/>
        <charset val="1"/>
      </rPr>
      <t xml:space="preserve">(MonthlyInvoiceJob)</t>
    </r>
  </si>
  <si>
    <t xml:space="preserve">バッチ</t>
  </si>
  <si>
    <t xml:space="preserve">請求書の税額が変わる。過去月分の再発行時に金額差異が出る</t>
  </si>
  <si>
    <r>
      <rPr>
        <sz val="10"/>
        <rFont val="Noto Sans CJK SC"/>
        <family val="2"/>
      </rPr>
      <t xml:space="preserve">結合</t>
    </r>
    <r>
      <rPr>
        <sz val="10"/>
        <rFont val="Meiryo UI"/>
        <family val="0"/>
        <charset val="1"/>
      </rPr>
      <t xml:space="preserve">+</t>
    </r>
    <r>
      <rPr>
        <sz val="10"/>
        <rFont val="Noto Sans CJK SC"/>
        <family val="2"/>
      </rPr>
      <t xml:space="preserve">回帰</t>
    </r>
    <r>
      <rPr>
        <sz val="10"/>
        <rFont val="Meiryo UI"/>
        <family val="0"/>
        <charset val="1"/>
      </rPr>
      <t xml:space="preserve">:</t>
    </r>
    <r>
      <rPr>
        <sz val="10"/>
        <rFont val="Noto Sans CJK SC"/>
        <family val="2"/>
      </rPr>
      <t xml:space="preserve">再発行時は旧ロジックを維持</t>
    </r>
  </si>
  <si>
    <t xml:space="preserve">呼び出し階層で間接参照を確認</t>
  </si>
  <si>
    <t xml:space="preserve">鈴木</t>
  </si>
  <si>
    <r>
      <rPr>
        <sz val="10"/>
        <rFont val="Noto Sans CJK SC"/>
        <family val="2"/>
      </rPr>
      <t xml:space="preserve">会計システム連携</t>
    </r>
    <r>
      <rPr>
        <sz val="10"/>
        <rFont val="Meiryo UI"/>
        <family val="0"/>
        <charset val="1"/>
      </rPr>
      <t xml:space="preserve">CSV</t>
    </r>
  </si>
  <si>
    <t xml:space="preserve">会計側の税額照合で差異エラーになる可能性</t>
  </si>
  <si>
    <t xml:space="preserve">連携先とテストデータで照合</t>
  </si>
  <si>
    <r>
      <rPr>
        <sz val="10"/>
        <rFont val="Meiryo UI"/>
        <family val="0"/>
        <charset val="1"/>
      </rPr>
      <t xml:space="preserve">IF</t>
    </r>
    <r>
      <rPr>
        <sz val="10"/>
        <rFont val="Noto Sans CJK SC"/>
        <family val="2"/>
      </rPr>
      <t xml:space="preserve">仕様書、会計チームに確認中</t>
    </r>
  </si>
  <si>
    <r>
      <rPr>
        <sz val="10"/>
        <rFont val="Meiryo UI"/>
        <family val="0"/>
        <charset val="1"/>
      </rPr>
      <t xml:space="preserve">orders.tax_amount </t>
    </r>
    <r>
      <rPr>
        <sz val="10"/>
        <rFont val="Noto Sans CJK SC"/>
        <family val="2"/>
      </rPr>
      <t xml:space="preserve">カラム</t>
    </r>
  </si>
  <si>
    <t xml:space="preserve">新規注文から値の算出方法が変わる。既存データは変更しない</t>
  </si>
  <si>
    <t xml:space="preserve">低</t>
  </si>
  <si>
    <t xml:space="preserve">不要</t>
  </si>
  <si>
    <t xml:space="preserve">移行不要の判断をレビューで確認</t>
  </si>
  <si>
    <r>
      <rPr>
        <sz val="10"/>
        <rFont val="Meiryo UI"/>
        <family val="0"/>
        <charset val="1"/>
      </rPr>
      <t xml:space="preserve">rg </t>
    </r>
    <r>
      <rPr>
        <sz val="10"/>
        <rFont val="Noto Sans CJK SC"/>
        <family val="2"/>
      </rPr>
      <t xml:space="preserve">で </t>
    </r>
    <r>
      <rPr>
        <sz val="10"/>
        <rFont val="Meiryo UI"/>
        <family val="0"/>
        <charset val="1"/>
      </rPr>
      <t xml:space="preserve">tax_amount </t>
    </r>
    <r>
      <rPr>
        <sz val="10"/>
        <rFont val="Noto Sans CJK SC"/>
        <family val="2"/>
      </rPr>
      <t xml:space="preserve">の書込箇所を確認</t>
    </r>
  </si>
  <si>
    <t xml:space="preserve">売上集計レポート</t>
  </si>
  <si>
    <t xml:space="preserve">切替日をまたぐ集計で端数差が混在する</t>
  </si>
  <si>
    <t xml:space="preserve">切替日前後のデータで集計確認</t>
  </si>
  <si>
    <r>
      <rPr>
        <sz val="10"/>
        <rFont val="Noto Sans CJK SC"/>
        <family val="2"/>
      </rPr>
      <t xml:space="preserve">レポート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rg </t>
    </r>
    <r>
      <rPr>
        <sz val="10"/>
        <rFont val="Noto Sans CJK SC"/>
        <family val="2"/>
      </rPr>
      <t xml:space="preserve">で確認</t>
    </r>
  </si>
  <si>
    <t xml:space="preserve">単体</t>
  </si>
  <si>
    <t xml:space="preserve">TaxCalculator.calcTax()</t>
  </si>
  <si>
    <r>
      <rPr>
        <sz val="10"/>
        <rFont val="Noto Sans CJK SC"/>
        <family val="2"/>
      </rPr>
      <t xml:space="preserve">端数 </t>
    </r>
    <r>
      <rPr>
        <sz val="10"/>
        <rFont val="Meiryo UI"/>
        <family val="0"/>
        <charset val="1"/>
      </rPr>
      <t xml:space="preserve">.4 / .5 / .6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0</t>
    </r>
    <r>
      <rPr>
        <sz val="10"/>
        <rFont val="Noto Sans CJK SC"/>
        <family val="2"/>
      </rPr>
      <t xml:space="preserve">円、上限金額、マイナス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返品</t>
    </r>
    <r>
      <rPr>
        <sz val="10"/>
        <rFont val="Meiryo UI"/>
        <family val="0"/>
        <charset val="1"/>
      </rPr>
      <t xml:space="preserve">)</t>
    </r>
  </si>
  <si>
    <t xml:space="preserve">結合</t>
  </si>
  <si>
    <r>
      <rPr>
        <sz val="10"/>
        <rFont val="Noto Sans CJK SC"/>
        <family val="2"/>
      </rPr>
      <t xml:space="preserve">注文確定画面・注文</t>
    </r>
    <r>
      <rPr>
        <sz val="10"/>
        <rFont val="Meiryo UI"/>
        <family val="0"/>
        <charset val="1"/>
      </rPr>
      <t xml:space="preserve">API</t>
    </r>
  </si>
  <si>
    <t xml:space="preserve">端数が出る金額で表示値とレスポンスを確認</t>
  </si>
  <si>
    <t xml:space="preserve">回帰</t>
  </si>
  <si>
    <t xml:space="preserve">月次請求バッチ・請求書再発行</t>
  </si>
  <si>
    <t xml:space="preserve">切替前の注文は旧ロジックで再発行されること</t>
  </si>
  <si>
    <r>
      <rPr>
        <sz val="10"/>
        <rFont val="Noto Sans CJK SC"/>
        <family val="2"/>
      </rPr>
      <t xml:space="preserve">会計連携</t>
    </r>
    <r>
      <rPr>
        <sz val="10"/>
        <rFont val="Meiryo UI"/>
        <family val="0"/>
        <charset val="1"/>
      </rPr>
      <t xml:space="preserve">CSV</t>
    </r>
  </si>
  <si>
    <t xml:space="preserve">会計側テスト環境で照合エラーが出ないこと</t>
  </si>
  <si>
    <r>
      <rPr>
        <sz val="10"/>
        <rFont val="Noto Sans CJK SC"/>
        <family val="2"/>
      </rPr>
      <t xml:space="preserve">会計システム側の照合が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円差を許容するか</t>
    </r>
  </si>
  <si>
    <t xml:space="preserve">会計チーム 田中さん</t>
  </si>
  <si>
    <t xml:space="preserve">2026-10-16</t>
  </si>
  <si>
    <t xml:space="preserve">確認中</t>
  </si>
  <si>
    <r>
      <rPr>
        <sz val="10"/>
        <rFont val="Noto Sans CJK SC"/>
        <family val="2"/>
      </rPr>
      <t xml:space="preserve">返品</t>
    </r>
    <r>
      <rPr>
        <sz val="10"/>
        <rFont val="Meiryo UI"/>
        <family val="0"/>
        <charset val="1"/>
      </rPr>
      <t xml:space="preserve">(</t>
    </r>
    <r>
      <rPr>
        <sz val="10"/>
        <rFont val="Noto Sans CJK SC"/>
        <family val="2"/>
      </rPr>
      <t xml:space="preserve">マイナス金額</t>
    </r>
    <r>
      <rPr>
        <sz val="10"/>
        <rFont val="Meiryo UI"/>
        <family val="0"/>
        <charset val="1"/>
      </rPr>
      <t xml:space="preserve">)</t>
    </r>
    <r>
      <rPr>
        <sz val="10"/>
        <rFont val="Noto Sans CJK SC"/>
        <family val="2"/>
      </rPr>
      <t xml:space="preserve">の四捨五入方向の仕様</t>
    </r>
  </si>
  <si>
    <t xml:space="preserve">業務担当</t>
  </si>
  <si>
    <t xml:space="preserve">2026-10-15</t>
  </si>
  <si>
    <t xml:space="preserve">未確認</t>
  </si>
  <si>
    <t xml:space="preserve">レビュー観点とよくある見落とし</t>
  </si>
  <si>
    <t xml:space="preserve">よくある見落とし・確認内容</t>
  </si>
  <si>
    <t xml:space="preserve">結果</t>
  </si>
  <si>
    <t xml:space="preserve">コメント</t>
  </si>
  <si>
    <t xml:space="preserve">変更点の網羅</t>
  </si>
  <si>
    <r>
      <rPr>
        <sz val="10"/>
        <rFont val="Noto Sans CJK SC"/>
        <family val="2"/>
      </rPr>
      <t xml:space="preserve">差分</t>
    </r>
    <r>
      <rPr>
        <sz val="10"/>
        <rFont val="Meiryo UI"/>
        <family val="0"/>
        <charset val="1"/>
      </rPr>
      <t xml:space="preserve">(git diff)</t>
    </r>
    <r>
      <rPr>
        <sz val="10"/>
        <rFont val="Noto Sans CJK SC"/>
        <family val="2"/>
      </rPr>
      <t xml:space="preserve">と「変更内容」の一覧が一致しているか。設定・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・テストデータの変更漏れ</t>
    </r>
  </si>
  <si>
    <t xml:space="preserve">参照元の網羅</t>
  </si>
  <si>
    <r>
      <rPr>
        <sz val="10"/>
        <rFont val="Meiryo UI"/>
        <family val="0"/>
        <charset val="1"/>
      </rPr>
      <t xml:space="preserve">IDE</t>
    </r>
    <r>
      <rPr>
        <sz val="10"/>
        <rFont val="Noto Sans CJK SC"/>
        <family val="2"/>
      </rPr>
      <t xml:space="preserve">検索だけで済ませ、リフレクション・</t>
    </r>
    <r>
      <rPr>
        <sz val="10"/>
        <rFont val="Meiryo UI"/>
        <family val="0"/>
        <charset val="1"/>
      </rPr>
      <t xml:space="preserve">DI</t>
    </r>
    <r>
      <rPr>
        <sz val="10"/>
        <rFont val="Noto Sans CJK SC"/>
        <family val="2"/>
      </rPr>
      <t xml:space="preserve">・文字列参照を </t>
    </r>
    <r>
      <rPr>
        <sz val="10"/>
        <rFont val="Meiryo UI"/>
        <family val="0"/>
        <charset val="1"/>
      </rPr>
      <t xml:space="preserve">grep </t>
    </r>
    <r>
      <rPr>
        <sz val="10"/>
        <rFont val="Noto Sans CJK SC"/>
        <family val="2"/>
      </rPr>
      <t xml:space="preserve">していない</t>
    </r>
  </si>
  <si>
    <t xml:space="preserve">間接影響</t>
  </si>
  <si>
    <r>
      <rPr>
        <sz val="10"/>
        <rFont val="Noto Sans CJK SC"/>
        <family val="2"/>
      </rPr>
      <t xml:space="preserve">直接の呼び出し元で止まり、画面・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・バッチなどのエントリポイントまで追っていない</t>
    </r>
  </si>
  <si>
    <t xml:space="preserve">同じテーブルを読む他機能・他システム、既存データの移行要否</t>
  </si>
  <si>
    <t xml:space="preserve">連携先・旧バージョンのクライアントとの互換性を連携先に確認していない</t>
  </si>
  <si>
    <t xml:space="preserve">件数増加時の性能、ロック、権限チェック、ログ・監視への影響</t>
  </si>
  <si>
    <t xml:space="preserve">リスク評価の根拠</t>
  </si>
  <si>
    <t xml:space="preserve">影響度・発生可能性の評価理由が「根拠・確認方法」に書かれているか</t>
  </si>
  <si>
    <t xml:space="preserve">リスク高の項目すべてにテストが割り当てられているか。回帰テストの範囲</t>
  </si>
  <si>
    <t xml:space="preserve">未確認事項</t>
  </si>
  <si>
    <t xml:space="preserve">推測で「影響なし」としていないか。未確認事項に確認先と期限があるか</t>
  </si>
  <si>
    <t xml:space="preserve">リリース・切り戻し</t>
  </si>
  <si>
    <t xml:space="preserve">リリース手順、切替タイミング、ロールバック可否の考慮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</si>
</sst>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Meiryo UI"/>
      <family val="0"/>
      <charset val="1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11"/>
      <color rgb="FF1F3864"/>
      <name val="Noto Sans CJK SC"/>
      <family val="2"/>
    </font>
    <font>
      <sz val="10"/>
      <name val="Noto Sans CJK SC"/>
      <family val="2"/>
    </font>
    <font>
      <sz val="10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 UI"/>
      <family val="0"/>
      <charset val="1"/>
    </font>
    <font>
      <b val="true"/>
      <sz val="11"/>
      <color rgb="FF1F3864"/>
      <name val="Meiryo UI"/>
      <family val="0"/>
      <charset val="1"/>
    </font>
    <font>
      <b val="true"/>
      <sz val="10"/>
      <name val="Noto Sans CJK SC"/>
      <family val="2"/>
    </font>
    <font>
      <b val="true"/>
      <sz val="10"/>
      <name val="Meiryo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61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</row>
    <row r="7" customFormat="false" ht="17.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</row>
    <row r="9" customFormat="false" ht="15" hidden="false" customHeight="true" outlineLevel="0" collapsed="false">
      <c r="A9" s="4" t="s">
        <v>6</v>
      </c>
      <c r="B9" s="4"/>
    </row>
    <row r="10" customFormat="false" ht="15" hidden="false" customHeight="true" outlineLevel="0" collapsed="false">
      <c r="A10" s="4" t="s">
        <v>7</v>
      </c>
      <c r="B10" s="4"/>
    </row>
    <row r="12" customFormat="false" ht="17.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5" t="s">
        <v>9</v>
      </c>
      <c r="B13" s="5" t="s">
        <v>10</v>
      </c>
    </row>
    <row r="14" customFormat="false" ht="15" hidden="false" customHeight="false" outlineLevel="0" collapsed="false">
      <c r="A14" s="6" t="s">
        <v>11</v>
      </c>
      <c r="B14" s="6" t="s">
        <v>12</v>
      </c>
    </row>
    <row r="15" customFormat="false" ht="15" hidden="false" customHeight="false" outlineLevel="0" collapsed="false">
      <c r="A15" s="6" t="s">
        <v>13</v>
      </c>
      <c r="B15" s="6" t="s">
        <v>14</v>
      </c>
    </row>
    <row r="16" customFormat="false" ht="15" hidden="false" customHeight="false" outlineLevel="0" collapsed="false">
      <c r="A16" s="6" t="s">
        <v>15</v>
      </c>
      <c r="B16" s="7" t="s">
        <v>16</v>
      </c>
    </row>
    <row r="17" customFormat="false" ht="15" hidden="false" customHeight="false" outlineLevel="0" collapsed="false">
      <c r="A17" s="6" t="s">
        <v>17</v>
      </c>
      <c r="B17" s="6" t="s">
        <v>18</v>
      </c>
    </row>
    <row r="18" customFormat="false" ht="15" hidden="false" customHeight="false" outlineLevel="0" collapsed="false">
      <c r="A18" s="6" t="s">
        <v>19</v>
      </c>
      <c r="B18" s="6" t="s">
        <v>20</v>
      </c>
    </row>
    <row r="19" customFormat="false" ht="15" hidden="false" customHeight="false" outlineLevel="0" collapsed="false">
      <c r="A19" s="6" t="s">
        <v>21</v>
      </c>
      <c r="B19" s="6" t="s">
        <v>22</v>
      </c>
    </row>
    <row r="21" customFormat="false" ht="17.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8"/>
      <c r="B22" s="9" t="s">
        <v>24</v>
      </c>
    </row>
    <row r="23" customFormat="false" ht="15" hidden="false" customHeight="false" outlineLevel="0" collapsed="false">
      <c r="A23" s="10"/>
      <c r="B23" s="9" t="s">
        <v>25</v>
      </c>
    </row>
    <row r="24" customFormat="false" ht="15" hidden="false" customHeight="false" outlineLevel="0" collapsed="false">
      <c r="A24" s="6" t="s">
        <v>26</v>
      </c>
      <c r="B24" s="9" t="s">
        <v>27</v>
      </c>
    </row>
  </sheetData>
  <mergeCells count="4">
    <mergeCell ref="A5:B5"/>
    <mergeCell ref="A8:B8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48"/>
    <col collapsed="false" customWidth="true" hidden="false" outlineLevel="0" max="5" min="5" style="0" width="28"/>
  </cols>
  <sheetData>
    <row r="1" customFormat="false" ht="364.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11" t="s">
        <v>29</v>
      </c>
      <c r="B3" s="5" t="s">
        <v>30</v>
      </c>
      <c r="C3" s="5" t="s">
        <v>31</v>
      </c>
      <c r="D3" s="5" t="s">
        <v>32</v>
      </c>
      <c r="E3" s="5" t="s">
        <v>33</v>
      </c>
    </row>
    <row r="4" customFormat="false" ht="44" hidden="false" customHeight="false" outlineLevel="0" collapsed="false">
      <c r="A4" s="12" t="n">
        <v>1</v>
      </c>
      <c r="B4" s="6" t="s">
        <v>34</v>
      </c>
      <c r="C4" s="6" t="s">
        <v>35</v>
      </c>
      <c r="D4" s="6" t="s">
        <v>36</v>
      </c>
      <c r="E4" s="7" t="s">
        <v>37</v>
      </c>
    </row>
    <row r="5" customFormat="false" ht="29.85" hidden="false" customHeight="false" outlineLevel="0" collapsed="false">
      <c r="A5" s="12" t="n">
        <v>2</v>
      </c>
      <c r="B5" s="6" t="s">
        <v>38</v>
      </c>
      <c r="C5" s="7" t="s">
        <v>39</v>
      </c>
      <c r="D5" s="6" t="s">
        <v>40</v>
      </c>
      <c r="E5" s="7" t="s">
        <v>41</v>
      </c>
    </row>
    <row r="6" customFormat="false" ht="29.85" hidden="false" customHeight="false" outlineLevel="0" collapsed="false">
      <c r="A6" s="12" t="n">
        <v>3</v>
      </c>
      <c r="B6" s="6" t="s">
        <v>42</v>
      </c>
      <c r="C6" s="6" t="s">
        <v>43</v>
      </c>
      <c r="D6" s="6" t="s">
        <v>44</v>
      </c>
      <c r="E6" s="7" t="s">
        <v>41</v>
      </c>
    </row>
    <row r="7" customFormat="false" ht="29.85" hidden="false" customHeight="false" outlineLevel="0" collapsed="false">
      <c r="A7" s="12" t="n">
        <v>4</v>
      </c>
      <c r="B7" s="6" t="s">
        <v>45</v>
      </c>
      <c r="C7" s="6" t="s">
        <v>46</v>
      </c>
      <c r="D7" s="6" t="s">
        <v>47</v>
      </c>
      <c r="E7" s="7" t="s">
        <v>41</v>
      </c>
    </row>
    <row r="8" customFormat="false" ht="29.85" hidden="false" customHeight="false" outlineLevel="0" collapsed="false">
      <c r="A8" s="12" t="n">
        <v>5</v>
      </c>
      <c r="B8" s="6" t="s">
        <v>48</v>
      </c>
      <c r="C8" s="6" t="s">
        <v>49</v>
      </c>
      <c r="D8" s="6" t="s">
        <v>50</v>
      </c>
      <c r="E8" s="7" t="s">
        <v>41</v>
      </c>
    </row>
    <row r="9" customFormat="false" ht="29.85" hidden="false" customHeight="false" outlineLevel="0" collapsed="false">
      <c r="A9" s="12" t="n">
        <v>6</v>
      </c>
      <c r="B9" s="6" t="s">
        <v>51</v>
      </c>
      <c r="C9" s="6" t="s">
        <v>52</v>
      </c>
      <c r="D9" s="6" t="s">
        <v>53</v>
      </c>
      <c r="E9" s="7" t="s">
        <v>41</v>
      </c>
    </row>
    <row r="10" customFormat="false" ht="29.85" hidden="false" customHeight="false" outlineLevel="0" collapsed="false">
      <c r="A10" s="12" t="n">
        <v>7</v>
      </c>
      <c r="B10" s="6" t="s">
        <v>54</v>
      </c>
      <c r="C10" s="7" t="s">
        <v>55</v>
      </c>
      <c r="D10" s="6" t="s">
        <v>56</v>
      </c>
      <c r="E10" s="7" t="s">
        <v>57</v>
      </c>
    </row>
    <row r="11" customFormat="false" ht="29.85" hidden="false" customHeight="false" outlineLevel="0" collapsed="false">
      <c r="A11" s="12" t="n">
        <v>8</v>
      </c>
      <c r="B11" s="6" t="s">
        <v>58</v>
      </c>
      <c r="C11" s="6" t="s">
        <v>59</v>
      </c>
      <c r="D11" s="6" t="s">
        <v>60</v>
      </c>
      <c r="E11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02.2" hidden="false" customHeight="false" outlineLevel="0" collapsed="false">
      <c r="A1" s="1" t="s">
        <v>13</v>
      </c>
    </row>
    <row r="2" customFormat="false" ht="141" hidden="false" customHeight="false" outlineLevel="0" collapsed="false">
      <c r="A2" s="2" t="s">
        <v>62</v>
      </c>
    </row>
    <row r="4" customFormat="false" ht="15" hidden="false" customHeight="false" outlineLevel="0" collapsed="false">
      <c r="A4" s="11" t="s">
        <v>29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</row>
    <row r="5" customFormat="false" ht="15" hidden="false" customHeight="false" outlineLevel="0" collapsed="false">
      <c r="A5" s="12" t="n">
        <v>1</v>
      </c>
      <c r="B5" s="6" t="s">
        <v>68</v>
      </c>
      <c r="C5" s="6" t="s">
        <v>69</v>
      </c>
      <c r="D5" s="7" t="s">
        <v>70</v>
      </c>
      <c r="E5" s="13"/>
      <c r="F5" s="8"/>
    </row>
    <row r="6" customFormat="false" ht="15" hidden="false" customHeight="false" outlineLevel="0" collapsed="false">
      <c r="A6" s="12" t="n">
        <v>2</v>
      </c>
      <c r="B6" s="6" t="s">
        <v>68</v>
      </c>
      <c r="C6" s="6" t="s">
        <v>71</v>
      </c>
      <c r="D6" s="7" t="s">
        <v>72</v>
      </c>
      <c r="E6" s="13"/>
      <c r="F6" s="8"/>
    </row>
    <row r="7" customFormat="false" ht="15" hidden="false" customHeight="false" outlineLevel="0" collapsed="false">
      <c r="A7" s="12" t="n">
        <v>3</v>
      </c>
      <c r="B7" s="6" t="s">
        <v>68</v>
      </c>
      <c r="C7" s="6" t="s">
        <v>73</v>
      </c>
      <c r="D7" s="6" t="s">
        <v>74</v>
      </c>
      <c r="E7" s="13"/>
      <c r="F7" s="8"/>
    </row>
    <row r="8" customFormat="false" ht="15" hidden="false" customHeight="false" outlineLevel="0" collapsed="false">
      <c r="A8" s="12" t="n">
        <v>4</v>
      </c>
      <c r="B8" s="6" t="s">
        <v>75</v>
      </c>
      <c r="C8" s="6" t="s">
        <v>76</v>
      </c>
      <c r="D8" s="6" t="s">
        <v>77</v>
      </c>
      <c r="E8" s="13"/>
      <c r="F8" s="8"/>
    </row>
    <row r="9" customFormat="false" ht="15" hidden="false" customHeight="false" outlineLevel="0" collapsed="false">
      <c r="A9" s="12" t="n">
        <v>5</v>
      </c>
      <c r="B9" s="6" t="s">
        <v>78</v>
      </c>
      <c r="C9" s="6" t="s">
        <v>79</v>
      </c>
      <c r="D9" s="6" t="s">
        <v>80</v>
      </c>
      <c r="E9" s="13"/>
      <c r="F9" s="8"/>
    </row>
    <row r="10" customFormat="false" ht="15" hidden="false" customHeight="false" outlineLevel="0" collapsed="false">
      <c r="A10" s="12" t="n">
        <v>6</v>
      </c>
      <c r="B10" s="6" t="s">
        <v>81</v>
      </c>
      <c r="C10" s="6" t="s">
        <v>82</v>
      </c>
      <c r="D10" s="7" t="s">
        <v>83</v>
      </c>
      <c r="E10" s="13"/>
      <c r="F10" s="8"/>
    </row>
    <row r="11" customFormat="false" ht="15" hidden="false" customHeight="false" outlineLevel="0" collapsed="false">
      <c r="A11" s="12" t="n">
        <v>7</v>
      </c>
      <c r="B11" s="6" t="s">
        <v>81</v>
      </c>
      <c r="C11" s="6" t="s">
        <v>84</v>
      </c>
      <c r="D11" s="6" t="s">
        <v>85</v>
      </c>
      <c r="E11" s="13"/>
      <c r="F11" s="8"/>
    </row>
    <row r="12" customFormat="false" ht="15" hidden="false" customHeight="false" outlineLevel="0" collapsed="false">
      <c r="A12" s="12" t="n">
        <v>8</v>
      </c>
      <c r="B12" s="6" t="s">
        <v>81</v>
      </c>
      <c r="C12" s="6" t="s">
        <v>86</v>
      </c>
      <c r="D12" s="6" t="s">
        <v>87</v>
      </c>
      <c r="E12" s="13"/>
      <c r="F12" s="8"/>
    </row>
    <row r="13" customFormat="false" ht="15" hidden="false" customHeight="false" outlineLevel="0" collapsed="false">
      <c r="A13" s="12" t="n">
        <v>9</v>
      </c>
      <c r="B13" s="6" t="s">
        <v>88</v>
      </c>
      <c r="C13" s="6" t="s">
        <v>89</v>
      </c>
      <c r="D13" s="7" t="s">
        <v>90</v>
      </c>
      <c r="E13" s="13"/>
      <c r="F13" s="8"/>
    </row>
    <row r="14" customFormat="false" ht="15" hidden="false" customHeight="false" outlineLevel="0" collapsed="false">
      <c r="A14" s="12" t="n">
        <v>10</v>
      </c>
      <c r="B14" s="6" t="s">
        <v>91</v>
      </c>
      <c r="C14" s="6" t="s">
        <v>92</v>
      </c>
      <c r="D14" s="6" t="s">
        <v>93</v>
      </c>
      <c r="E14" s="13"/>
      <c r="F14" s="8"/>
    </row>
    <row r="15" customFormat="false" ht="15" hidden="false" customHeight="false" outlineLevel="0" collapsed="false">
      <c r="A15" s="12" t="n">
        <v>11</v>
      </c>
      <c r="B15" s="6" t="s">
        <v>94</v>
      </c>
      <c r="C15" s="6" t="s">
        <v>95</v>
      </c>
      <c r="D15" s="6" t="s">
        <v>96</v>
      </c>
      <c r="E15" s="13"/>
      <c r="F15" s="8"/>
    </row>
    <row r="16" customFormat="false" ht="15" hidden="false" customHeight="false" outlineLevel="0" collapsed="false">
      <c r="A16" s="12" t="n">
        <v>12</v>
      </c>
      <c r="B16" s="6" t="s">
        <v>94</v>
      </c>
      <c r="C16" s="6" t="s">
        <v>97</v>
      </c>
      <c r="D16" s="6" t="s">
        <v>98</v>
      </c>
      <c r="E16" s="13"/>
      <c r="F16" s="8"/>
    </row>
    <row r="17" customFormat="false" ht="15" hidden="false" customHeight="false" outlineLevel="0" collapsed="false">
      <c r="A17" s="12" t="n">
        <v>13</v>
      </c>
      <c r="B17" s="6" t="s">
        <v>99</v>
      </c>
      <c r="C17" s="6" t="s">
        <v>100</v>
      </c>
      <c r="D17" s="6" t="s">
        <v>101</v>
      </c>
      <c r="E17" s="13"/>
      <c r="F17" s="8"/>
    </row>
    <row r="18" customFormat="false" ht="15" hidden="false" customHeight="false" outlineLevel="0" collapsed="false">
      <c r="A18" s="12" t="n">
        <v>14</v>
      </c>
      <c r="B18" s="6" t="s">
        <v>99</v>
      </c>
      <c r="C18" s="6" t="s">
        <v>102</v>
      </c>
      <c r="D18" s="6" t="s">
        <v>103</v>
      </c>
      <c r="E18" s="13"/>
      <c r="F18" s="8"/>
    </row>
    <row r="19" customFormat="false" ht="15" hidden="false" customHeight="false" outlineLevel="0" collapsed="false">
      <c r="A19" s="12" t="n">
        <v>15</v>
      </c>
      <c r="B19" s="6" t="s">
        <v>104</v>
      </c>
      <c r="C19" s="6" t="s">
        <v>105</v>
      </c>
      <c r="D19" s="6" t="s">
        <v>106</v>
      </c>
      <c r="E19" s="13"/>
      <c r="F19" s="8"/>
    </row>
  </sheetData>
  <dataValidations count="1">
    <dataValidation allowBlank="true" errorStyle="stop" operator="between" showDropDown="false" showErrorMessage="false" showInputMessage="false" sqref="E5:E19" type="list">
      <formula1>"該当あり,該当なし,未確認"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41.75" hidden="false" customHeight="false" outlineLevel="0" collapsed="false">
      <c r="A1" s="1" t="s">
        <v>15</v>
      </c>
    </row>
    <row r="3" customFormat="false" ht="15" hidden="false" customHeight="false" outlineLevel="0" collapsed="false">
      <c r="A3" s="5" t="s">
        <v>2</v>
      </c>
      <c r="B3" s="5" t="s">
        <v>107</v>
      </c>
      <c r="C3" s="5" t="s">
        <v>108</v>
      </c>
      <c r="D3" s="5" t="s">
        <v>109</v>
      </c>
    </row>
    <row r="4" customFormat="false" ht="29.85" hidden="false" customHeight="false" outlineLevel="0" collapsed="false">
      <c r="A4" s="6" t="s">
        <v>110</v>
      </c>
      <c r="B4" s="7" t="s">
        <v>111</v>
      </c>
      <c r="C4" s="7" t="s">
        <v>112</v>
      </c>
      <c r="D4" s="6" t="s">
        <v>113</v>
      </c>
    </row>
    <row r="5" customFormat="false" ht="29.85" hidden="false" customHeight="false" outlineLevel="0" collapsed="false">
      <c r="A5" s="6" t="s">
        <v>114</v>
      </c>
      <c r="B5" s="7" t="s">
        <v>115</v>
      </c>
      <c r="C5" s="7" t="s">
        <v>116</v>
      </c>
      <c r="D5" s="7" t="s">
        <v>117</v>
      </c>
    </row>
    <row r="6" customFormat="false" ht="15" hidden="false" customHeight="false" outlineLevel="0" collapsed="false">
      <c r="A6" s="6" t="s">
        <v>114</v>
      </c>
      <c r="B6" s="7" t="s">
        <v>118</v>
      </c>
      <c r="C6" s="7" t="s">
        <v>119</v>
      </c>
      <c r="D6" s="7" t="s">
        <v>120</v>
      </c>
    </row>
    <row r="7" customFormat="false" ht="25.35" hidden="false" customHeight="false" outlineLevel="0" collapsed="false">
      <c r="A7" s="6" t="s">
        <v>121</v>
      </c>
      <c r="B7" s="7" t="s">
        <v>122</v>
      </c>
      <c r="C7" s="7" t="s">
        <v>123</v>
      </c>
      <c r="D7" s="6" t="s">
        <v>124</v>
      </c>
    </row>
    <row r="8" customFormat="false" ht="25.35" hidden="false" customHeight="false" outlineLevel="0" collapsed="false">
      <c r="A8" s="6" t="s">
        <v>125</v>
      </c>
      <c r="B8" s="7" t="s">
        <v>126</v>
      </c>
      <c r="C8" s="7" t="s">
        <v>127</v>
      </c>
      <c r="D8" s="7" t="s">
        <v>128</v>
      </c>
    </row>
    <row r="9" customFormat="false" ht="15" hidden="false" customHeight="false" outlineLevel="0" collapsed="false">
      <c r="A9" s="6" t="s">
        <v>129</v>
      </c>
      <c r="B9" s="7" t="s">
        <v>130</v>
      </c>
      <c r="C9" s="7" t="s">
        <v>131</v>
      </c>
      <c r="D9" s="6" t="s">
        <v>132</v>
      </c>
    </row>
    <row r="10" customFormat="false" ht="39.55" hidden="false" customHeight="false" outlineLevel="0" collapsed="false">
      <c r="A10" s="6" t="s">
        <v>133</v>
      </c>
      <c r="B10" s="6" t="s">
        <v>134</v>
      </c>
      <c r="C10" s="7" t="s">
        <v>135</v>
      </c>
      <c r="D10" s="6" t="s">
        <v>136</v>
      </c>
    </row>
    <row r="11" customFormat="false" ht="44" hidden="false" customHeight="false" outlineLevel="0" collapsed="false">
      <c r="A11" s="7" t="s">
        <v>137</v>
      </c>
      <c r="B11" s="7" t="s">
        <v>138</v>
      </c>
      <c r="C11" s="7" t="s">
        <v>139</v>
      </c>
      <c r="D11" s="6" t="s">
        <v>140</v>
      </c>
    </row>
    <row r="12" customFormat="false" ht="29.85" hidden="false" customHeight="false" outlineLevel="0" collapsed="false">
      <c r="A12" s="6" t="s">
        <v>141</v>
      </c>
      <c r="B12" s="7" t="s">
        <v>138</v>
      </c>
      <c r="C12" s="7" t="s">
        <v>142</v>
      </c>
      <c r="D12" s="6" t="s">
        <v>143</v>
      </c>
    </row>
    <row r="13" customFormat="false" ht="29.85" hidden="false" customHeight="false" outlineLevel="0" collapsed="false">
      <c r="A13" s="6" t="s">
        <v>144</v>
      </c>
      <c r="B13" s="6" t="s">
        <v>145</v>
      </c>
      <c r="C13" s="6" t="s">
        <v>146</v>
      </c>
      <c r="D13" s="6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82.05" hidden="false" customHeight="false" outlineLevel="0" collapsed="false">
      <c r="A1" s="1" t="s">
        <v>148</v>
      </c>
    </row>
    <row r="2" customFormat="false" ht="128.35" hidden="false" customHeight="false" outlineLevel="0" collapsed="false">
      <c r="A2" s="2" t="s">
        <v>149</v>
      </c>
    </row>
    <row r="4" customFormat="false" ht="79.85" hidden="false" customHeight="false" outlineLevel="0" collapsed="false">
      <c r="A4" s="14" t="s">
        <v>150</v>
      </c>
    </row>
    <row r="5" customFormat="false" ht="15" hidden="false" customHeight="true" outlineLevel="0" collapsed="false">
      <c r="A5" s="15" t="s">
        <v>151</v>
      </c>
      <c r="B5" s="15"/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15" hidden="false" customHeight="true" outlineLevel="0" collapsed="false">
      <c r="A6" s="15" t="s">
        <v>152</v>
      </c>
      <c r="B6" s="15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true" outlineLevel="0" collapsed="false">
      <c r="A7" s="15" t="s">
        <v>153</v>
      </c>
      <c r="B7" s="15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15" hidden="false" customHeight="true" outlineLevel="0" collapsed="false">
      <c r="A8" s="15" t="s">
        <v>154</v>
      </c>
      <c r="B8" s="15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true" outlineLevel="0" collapsed="false">
      <c r="A9" s="15" t="s">
        <v>155</v>
      </c>
      <c r="B9" s="15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true" outlineLevel="0" collapsed="false">
      <c r="A10" s="15" t="s">
        <v>156</v>
      </c>
      <c r="B10" s="15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48" hidden="false" customHeight="true" outlineLevel="0" collapsed="false">
      <c r="A11" s="15" t="s">
        <v>157</v>
      </c>
      <c r="B11" s="15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48" hidden="false" customHeight="true" outlineLevel="0" collapsed="false">
      <c r="A12" s="15" t="s">
        <v>158</v>
      </c>
      <c r="B12" s="15"/>
      <c r="C12" s="8"/>
      <c r="D12" s="8"/>
      <c r="E12" s="8"/>
      <c r="F12" s="8"/>
      <c r="G12" s="8"/>
      <c r="H12" s="8"/>
      <c r="I12" s="8"/>
      <c r="J12" s="8"/>
      <c r="K12" s="8"/>
      <c r="L12" s="8"/>
    </row>
    <row r="14" customFormat="false" ht="48.5" hidden="false" customHeight="false" outlineLevel="0" collapsed="false">
      <c r="A14" s="14" t="s">
        <v>159</v>
      </c>
    </row>
    <row r="15" customFormat="false" ht="15" hidden="false" customHeight="true" outlineLevel="0" collapsed="false">
      <c r="A15" s="11" t="s">
        <v>29</v>
      </c>
      <c r="B15" s="5" t="s">
        <v>160</v>
      </c>
      <c r="C15" s="5"/>
      <c r="D15" s="5" t="s">
        <v>161</v>
      </c>
      <c r="E15" s="5" t="s">
        <v>162</v>
      </c>
      <c r="F15" s="5"/>
      <c r="G15" s="5"/>
      <c r="H15" s="5"/>
      <c r="I15" s="5"/>
      <c r="J15" s="5"/>
      <c r="K15" s="5"/>
      <c r="L15" s="5"/>
    </row>
    <row r="16" customFormat="false" ht="30" hidden="false" customHeight="true" outlineLevel="0" collapsed="false">
      <c r="A16" s="12" t="n">
        <v>1</v>
      </c>
      <c r="B16" s="8"/>
      <c r="C16" s="8"/>
      <c r="D16" s="13"/>
      <c r="E16" s="8"/>
      <c r="F16" s="8"/>
      <c r="G16" s="8"/>
      <c r="H16" s="8"/>
      <c r="I16" s="8"/>
      <c r="J16" s="8"/>
      <c r="K16" s="8"/>
      <c r="L16" s="8"/>
    </row>
    <row r="17" customFormat="false" ht="30" hidden="false" customHeight="true" outlineLevel="0" collapsed="false">
      <c r="A17" s="12" t="n">
        <v>2</v>
      </c>
      <c r="B17" s="8"/>
      <c r="C17" s="8"/>
      <c r="D17" s="13"/>
      <c r="E17" s="8"/>
      <c r="F17" s="8"/>
      <c r="G17" s="8"/>
      <c r="H17" s="8"/>
      <c r="I17" s="8"/>
      <c r="J17" s="8"/>
      <c r="K17" s="8"/>
      <c r="L17" s="8"/>
    </row>
    <row r="18" customFormat="false" ht="30" hidden="false" customHeight="true" outlineLevel="0" collapsed="false">
      <c r="A18" s="12" t="n">
        <v>3</v>
      </c>
      <c r="B18" s="8"/>
      <c r="C18" s="8"/>
      <c r="D18" s="13"/>
      <c r="E18" s="8"/>
      <c r="F18" s="8"/>
      <c r="G18" s="8"/>
      <c r="H18" s="8"/>
      <c r="I18" s="8"/>
      <c r="J18" s="8"/>
      <c r="K18" s="8"/>
      <c r="L18" s="8"/>
    </row>
    <row r="19" customFormat="false" ht="30" hidden="false" customHeight="true" outlineLevel="0" collapsed="false">
      <c r="A19" s="12" t="n">
        <v>4</v>
      </c>
      <c r="B19" s="8"/>
      <c r="C19" s="8"/>
      <c r="D19" s="13"/>
      <c r="E19" s="8"/>
      <c r="F19" s="8"/>
      <c r="G19" s="8"/>
      <c r="H19" s="8"/>
      <c r="I19" s="8"/>
      <c r="J19" s="8"/>
      <c r="K19" s="8"/>
      <c r="L19" s="8"/>
    </row>
    <row r="20" customFormat="false" ht="30" hidden="false" customHeight="true" outlineLevel="0" collapsed="false">
      <c r="A20" s="12" t="n">
        <v>5</v>
      </c>
      <c r="B20" s="8"/>
      <c r="C20" s="8"/>
      <c r="D20" s="13"/>
      <c r="E20" s="8"/>
      <c r="F20" s="8"/>
      <c r="G20" s="8"/>
      <c r="H20" s="8"/>
      <c r="I20" s="8"/>
      <c r="J20" s="8"/>
      <c r="K20" s="8"/>
      <c r="L20" s="8"/>
    </row>
    <row r="22" customFormat="false" ht="64.15" hidden="false" customHeight="false" outlineLevel="0" collapsed="false">
      <c r="A22" s="14" t="s">
        <v>163</v>
      </c>
    </row>
    <row r="23" customFormat="false" ht="15" hidden="false" customHeight="true" outlineLevel="0" collapsed="false">
      <c r="A23" s="16" t="s">
        <v>164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customFormat="false" ht="15" hidden="false" customHeight="false" outlineLevel="0" collapsed="false">
      <c r="A24" s="11" t="s">
        <v>29</v>
      </c>
      <c r="B24" s="5" t="s">
        <v>165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26</v>
      </c>
      <c r="H24" s="5" t="s">
        <v>170</v>
      </c>
      <c r="I24" s="5" t="s">
        <v>171</v>
      </c>
      <c r="J24" s="5" t="s">
        <v>172</v>
      </c>
      <c r="K24" s="5" t="s">
        <v>173</v>
      </c>
      <c r="L24" s="5" t="s">
        <v>174</v>
      </c>
    </row>
    <row r="25" customFormat="false" ht="15" hidden="false" customHeight="false" outlineLevel="0" collapsed="false">
      <c r="A25" s="12" t="n">
        <v>1</v>
      </c>
      <c r="B25" s="8"/>
      <c r="C25" s="13"/>
      <c r="D25" s="8"/>
      <c r="E25" s="13"/>
      <c r="F25" s="13"/>
      <c r="G25" s="12" t="str">
        <f aca="false">IF(OR(E25="",F25=""),"",IF((4-MATCH(E25,{"高","中","低"},0))*(4-MATCH(F25,{"高","中","低"},0))&gt;=6,"高",IF((4-MATCH(E25,{"高","中","低"},0))*(4-MATCH(F25,{"高","中","低"},0))&gt;=3,"中","低")))</f>
        <v/>
      </c>
      <c r="H25" s="13"/>
      <c r="I25" s="8"/>
      <c r="J25" s="8"/>
      <c r="K25" s="13"/>
      <c r="L25" s="13"/>
    </row>
    <row r="26" customFormat="false" ht="15" hidden="false" customHeight="false" outlineLevel="0" collapsed="false">
      <c r="A26" s="12" t="n">
        <v>2</v>
      </c>
      <c r="B26" s="8"/>
      <c r="C26" s="13"/>
      <c r="D26" s="8"/>
      <c r="E26" s="13"/>
      <c r="F26" s="13"/>
      <c r="G26" s="12" t="str">
        <f aca="false">IF(OR(E26="",F26=""),"",IF((4-MATCH(E26,{"高","中","低"},0))*(4-MATCH(F26,{"高","中","低"},0))&gt;=6,"高",IF((4-MATCH(E26,{"高","中","低"},0))*(4-MATCH(F26,{"高","中","低"},0))&gt;=3,"中","低")))</f>
        <v/>
      </c>
      <c r="H26" s="13"/>
      <c r="I26" s="8"/>
      <c r="J26" s="8"/>
      <c r="K26" s="13"/>
      <c r="L26" s="13"/>
    </row>
    <row r="27" customFormat="false" ht="15" hidden="false" customHeight="false" outlineLevel="0" collapsed="false">
      <c r="A27" s="12" t="n">
        <v>3</v>
      </c>
      <c r="B27" s="8"/>
      <c r="C27" s="13"/>
      <c r="D27" s="8"/>
      <c r="E27" s="13"/>
      <c r="F27" s="13"/>
      <c r="G27" s="12" t="str">
        <f aca="false">IF(OR(E27="",F27=""),"",IF((4-MATCH(E27,{"高","中","低"},0))*(4-MATCH(F27,{"高","中","低"},0))&gt;=6,"高",IF((4-MATCH(E27,{"高","中","低"},0))*(4-MATCH(F27,{"高","中","低"},0))&gt;=3,"中","低")))</f>
        <v/>
      </c>
      <c r="H27" s="13"/>
      <c r="I27" s="8"/>
      <c r="J27" s="8"/>
      <c r="K27" s="13"/>
      <c r="L27" s="13"/>
    </row>
    <row r="28" customFormat="false" ht="15" hidden="false" customHeight="false" outlineLevel="0" collapsed="false">
      <c r="A28" s="12" t="n">
        <v>4</v>
      </c>
      <c r="B28" s="8"/>
      <c r="C28" s="13"/>
      <c r="D28" s="8"/>
      <c r="E28" s="13"/>
      <c r="F28" s="13"/>
      <c r="G28" s="12" t="str">
        <f aca="false">IF(OR(E28="",F28=""),"",IF((4-MATCH(E28,{"高","中","低"},0))*(4-MATCH(F28,{"高","中","低"},0))&gt;=6,"高",IF((4-MATCH(E28,{"高","中","低"},0))*(4-MATCH(F28,{"高","中","低"},0))&gt;=3,"中","低")))</f>
        <v/>
      </c>
      <c r="H28" s="13"/>
      <c r="I28" s="8"/>
      <c r="J28" s="8"/>
      <c r="K28" s="13"/>
      <c r="L28" s="13"/>
    </row>
    <row r="29" customFormat="false" ht="15" hidden="false" customHeight="false" outlineLevel="0" collapsed="false">
      <c r="A29" s="12" t="n">
        <v>5</v>
      </c>
      <c r="B29" s="8"/>
      <c r="C29" s="13"/>
      <c r="D29" s="8"/>
      <c r="E29" s="13"/>
      <c r="F29" s="13"/>
      <c r="G29" s="12" t="str">
        <f aca="false">IF(OR(E29="",F29=""),"",IF((4-MATCH(E29,{"高","中","低"},0))*(4-MATCH(F29,{"高","中","低"},0))&gt;=6,"高",IF((4-MATCH(E29,{"高","中","低"},0))*(4-MATCH(F29,{"高","中","低"},0))&gt;=3,"中","低")))</f>
        <v/>
      </c>
      <c r="H29" s="13"/>
      <c r="I29" s="8"/>
      <c r="J29" s="8"/>
      <c r="K29" s="13"/>
      <c r="L29" s="13"/>
    </row>
    <row r="30" customFormat="false" ht="15" hidden="false" customHeight="false" outlineLevel="0" collapsed="false">
      <c r="A30" s="12" t="n">
        <v>6</v>
      </c>
      <c r="B30" s="8"/>
      <c r="C30" s="13"/>
      <c r="D30" s="8"/>
      <c r="E30" s="13"/>
      <c r="F30" s="13"/>
      <c r="G30" s="12" t="str">
        <f aca="false">IF(OR(E30="",F30=""),"",IF((4-MATCH(E30,{"高","中","低"},0))*(4-MATCH(F30,{"高","中","低"},0))&gt;=6,"高",IF((4-MATCH(E30,{"高","中","低"},0))*(4-MATCH(F30,{"高","中","低"},0))&gt;=3,"中","低")))</f>
        <v/>
      </c>
      <c r="H30" s="13"/>
      <c r="I30" s="8"/>
      <c r="J30" s="8"/>
      <c r="K30" s="13"/>
      <c r="L30" s="13"/>
    </row>
    <row r="31" customFormat="false" ht="15" hidden="false" customHeight="false" outlineLevel="0" collapsed="false">
      <c r="A31" s="12" t="n">
        <v>7</v>
      </c>
      <c r="B31" s="8"/>
      <c r="C31" s="13"/>
      <c r="D31" s="8"/>
      <c r="E31" s="13"/>
      <c r="F31" s="13"/>
      <c r="G31" s="12" t="str">
        <f aca="false">IF(OR(E31="",F31=""),"",IF((4-MATCH(E31,{"高","中","低"},0))*(4-MATCH(F31,{"高","中","低"},0))&gt;=6,"高",IF((4-MATCH(E31,{"高","中","低"},0))*(4-MATCH(F31,{"高","中","低"},0))&gt;=3,"中","低")))</f>
        <v/>
      </c>
      <c r="H31" s="13"/>
      <c r="I31" s="8"/>
      <c r="J31" s="8"/>
      <c r="K31" s="13"/>
      <c r="L31" s="13"/>
    </row>
    <row r="32" customFormat="false" ht="15" hidden="false" customHeight="false" outlineLevel="0" collapsed="false">
      <c r="A32" s="12" t="n">
        <v>8</v>
      </c>
      <c r="B32" s="8"/>
      <c r="C32" s="13"/>
      <c r="D32" s="8"/>
      <c r="E32" s="13"/>
      <c r="F32" s="13"/>
      <c r="G32" s="12" t="str">
        <f aca="false">IF(OR(E32="",F32=""),"",IF((4-MATCH(E32,{"高","中","低"},0))*(4-MATCH(F32,{"高","中","低"},0))&gt;=6,"高",IF((4-MATCH(E32,{"高","中","低"},0))*(4-MATCH(F32,{"高","中","低"},0))&gt;=3,"中","低")))</f>
        <v/>
      </c>
      <c r="H32" s="13"/>
      <c r="I32" s="8"/>
      <c r="J32" s="8"/>
      <c r="K32" s="13"/>
      <c r="L32" s="13"/>
    </row>
    <row r="33" customFormat="false" ht="15" hidden="false" customHeight="false" outlineLevel="0" collapsed="false">
      <c r="A33" s="12" t="n">
        <v>9</v>
      </c>
      <c r="B33" s="8"/>
      <c r="C33" s="13"/>
      <c r="D33" s="8"/>
      <c r="E33" s="13"/>
      <c r="F33" s="13"/>
      <c r="G33" s="12" t="str">
        <f aca="false">IF(OR(E33="",F33=""),"",IF((4-MATCH(E33,{"高","中","低"},0))*(4-MATCH(F33,{"高","中","低"},0))&gt;=6,"高",IF((4-MATCH(E33,{"高","中","低"},0))*(4-MATCH(F33,{"高","中","低"},0))&gt;=3,"中","低")))</f>
        <v/>
      </c>
      <c r="H33" s="13"/>
      <c r="I33" s="8"/>
      <c r="J33" s="8"/>
      <c r="K33" s="13"/>
      <c r="L33" s="13"/>
    </row>
    <row r="34" customFormat="false" ht="15" hidden="false" customHeight="false" outlineLevel="0" collapsed="false">
      <c r="A34" s="12" t="n">
        <v>10</v>
      </c>
      <c r="B34" s="8"/>
      <c r="C34" s="13"/>
      <c r="D34" s="8"/>
      <c r="E34" s="13"/>
      <c r="F34" s="13"/>
      <c r="G34" s="12" t="str">
        <f aca="false">IF(OR(E34="",F34=""),"",IF((4-MATCH(E34,{"高","中","低"},0))*(4-MATCH(F34,{"高","中","低"},0))&gt;=6,"高",IF((4-MATCH(E34,{"高","中","低"},0))*(4-MATCH(F34,{"高","中","低"},0))&gt;=3,"中","低")))</f>
        <v/>
      </c>
      <c r="H34" s="13"/>
      <c r="I34" s="8"/>
      <c r="J34" s="8"/>
      <c r="K34" s="13"/>
      <c r="L34" s="13"/>
    </row>
    <row r="35" customFormat="false" ht="15" hidden="false" customHeight="false" outlineLevel="0" collapsed="false">
      <c r="A35" s="12" t="n">
        <v>11</v>
      </c>
      <c r="B35" s="8"/>
      <c r="C35" s="13"/>
      <c r="D35" s="8"/>
      <c r="E35" s="13"/>
      <c r="F35" s="13"/>
      <c r="G35" s="12" t="str">
        <f aca="false">IF(OR(E35="",F35=""),"",IF((4-MATCH(E35,{"高","中","低"},0))*(4-MATCH(F35,{"高","中","低"},0))&gt;=6,"高",IF((4-MATCH(E35,{"高","中","低"},0))*(4-MATCH(F35,{"高","中","低"},0))&gt;=3,"中","低")))</f>
        <v/>
      </c>
      <c r="H35" s="13"/>
      <c r="I35" s="8"/>
      <c r="J35" s="8"/>
      <c r="K35" s="13"/>
      <c r="L35" s="13"/>
    </row>
    <row r="36" customFormat="false" ht="15" hidden="false" customHeight="false" outlineLevel="0" collapsed="false">
      <c r="A36" s="12" t="n">
        <v>12</v>
      </c>
      <c r="B36" s="8"/>
      <c r="C36" s="13"/>
      <c r="D36" s="8"/>
      <c r="E36" s="13"/>
      <c r="F36" s="13"/>
      <c r="G36" s="12" t="str">
        <f aca="false">IF(OR(E36="",F36=""),"",IF((4-MATCH(E36,{"高","中","低"},0))*(4-MATCH(F36,{"高","中","低"},0))&gt;=6,"高",IF((4-MATCH(E36,{"高","中","低"},0))*(4-MATCH(F36,{"高","中","低"},0))&gt;=3,"中","低")))</f>
        <v/>
      </c>
      <c r="H36" s="13"/>
      <c r="I36" s="8"/>
      <c r="J36" s="8"/>
      <c r="K36" s="13"/>
      <c r="L36" s="13"/>
    </row>
    <row r="37" customFormat="false" ht="15" hidden="false" customHeight="false" outlineLevel="0" collapsed="false">
      <c r="A37" s="12" t="n">
        <v>13</v>
      </c>
      <c r="B37" s="8"/>
      <c r="C37" s="13"/>
      <c r="D37" s="8"/>
      <c r="E37" s="13"/>
      <c r="F37" s="13"/>
      <c r="G37" s="12" t="str">
        <f aca="false">IF(OR(E37="",F37=""),"",IF((4-MATCH(E37,{"高","中","低"},0))*(4-MATCH(F37,{"高","中","低"},0))&gt;=6,"高",IF((4-MATCH(E37,{"高","中","低"},0))*(4-MATCH(F37,{"高","中","低"},0))&gt;=3,"中","低")))</f>
        <v/>
      </c>
      <c r="H37" s="13"/>
      <c r="I37" s="8"/>
      <c r="J37" s="8"/>
      <c r="K37" s="13"/>
      <c r="L37" s="13"/>
    </row>
    <row r="38" customFormat="false" ht="15" hidden="false" customHeight="false" outlineLevel="0" collapsed="false">
      <c r="A38" s="12" t="n">
        <v>14</v>
      </c>
      <c r="B38" s="8"/>
      <c r="C38" s="13"/>
      <c r="D38" s="8"/>
      <c r="E38" s="13"/>
      <c r="F38" s="13"/>
      <c r="G38" s="12" t="str">
        <f aca="false">IF(OR(E38="",F38=""),"",IF((4-MATCH(E38,{"高","中","低"},0))*(4-MATCH(F38,{"高","中","低"},0))&gt;=6,"高",IF((4-MATCH(E38,{"高","中","低"},0))*(4-MATCH(F38,{"高","中","低"},0))&gt;=3,"中","低")))</f>
        <v/>
      </c>
      <c r="H38" s="13"/>
      <c r="I38" s="8"/>
      <c r="J38" s="8"/>
      <c r="K38" s="13"/>
      <c r="L38" s="13"/>
    </row>
    <row r="39" customFormat="false" ht="15" hidden="false" customHeight="false" outlineLevel="0" collapsed="false">
      <c r="A39" s="12" t="n">
        <v>15</v>
      </c>
      <c r="B39" s="8"/>
      <c r="C39" s="13"/>
      <c r="D39" s="8"/>
      <c r="E39" s="13"/>
      <c r="F39" s="13"/>
      <c r="G39" s="12" t="str">
        <f aca="false">IF(OR(E39="",F39=""),"",IF((4-MATCH(E39,{"高","中","低"},0))*(4-MATCH(F39,{"高","中","低"},0))&gt;=6,"高",IF((4-MATCH(E39,{"高","中","低"},0))*(4-MATCH(F39,{"高","中","低"},0))&gt;=3,"中","低")))</f>
        <v/>
      </c>
      <c r="H39" s="13"/>
      <c r="I39" s="8"/>
      <c r="J39" s="8"/>
      <c r="K39" s="13"/>
      <c r="L39" s="13"/>
    </row>
    <row r="41" customFormat="false" ht="15" hidden="false" customHeight="false" outlineLevel="0" collapsed="false">
      <c r="A41" s="17" t="s">
        <v>175</v>
      </c>
    </row>
    <row r="42" customFormat="false" ht="15" hidden="false" customHeight="true" outlineLevel="0" collapsed="false">
      <c r="A42" s="15" t="s">
        <v>176</v>
      </c>
      <c r="B42" s="15"/>
      <c r="C42" s="12" t="n">
        <f aca="false">COUNTA(B25:B39)</f>
        <v>0</v>
      </c>
    </row>
    <row r="43" customFormat="false" ht="15" hidden="false" customHeight="true" outlineLevel="0" collapsed="false">
      <c r="A43" s="15" t="s">
        <v>177</v>
      </c>
      <c r="B43" s="15"/>
      <c r="C43" s="12" t="n">
        <f aca="false">COUNTIF(G25:G39,"高")</f>
        <v>0</v>
      </c>
    </row>
    <row r="44" customFormat="false" ht="15" hidden="false" customHeight="true" outlineLevel="0" collapsed="false">
      <c r="A44" s="15" t="s">
        <v>178</v>
      </c>
      <c r="B44" s="15"/>
      <c r="C44" s="12" t="n">
        <f aca="false">COUNTIF(G25:G39,"中")</f>
        <v>0</v>
      </c>
    </row>
    <row r="45" customFormat="false" ht="15" hidden="false" customHeight="true" outlineLevel="0" collapsed="false">
      <c r="A45" s="15" t="s">
        <v>179</v>
      </c>
      <c r="B45" s="15"/>
      <c r="C45" s="12" t="n">
        <f aca="false">COUNTIF(G25:G39,"低")</f>
        <v>0</v>
      </c>
    </row>
    <row r="46" customFormat="false" ht="15" hidden="false" customHeight="true" outlineLevel="0" collapsed="false">
      <c r="A46" s="15" t="s">
        <v>180</v>
      </c>
      <c r="B46" s="15"/>
      <c r="C46" s="12" t="n">
        <f aca="false">COUNTIF(H25:H39,"要")</f>
        <v>0</v>
      </c>
    </row>
    <row r="47" customFormat="false" ht="15" hidden="false" customHeight="true" outlineLevel="0" collapsed="false">
      <c r="A47" s="15" t="s">
        <v>181</v>
      </c>
      <c r="B47" s="15"/>
      <c r="C47" s="12" t="n">
        <f aca="false">COUNTIF(H25:H39,"要確認")</f>
        <v>0</v>
      </c>
    </row>
    <row r="48" customFormat="false" ht="15" hidden="false" customHeight="true" outlineLevel="0" collapsed="false">
      <c r="A48" s="15" t="s">
        <v>182</v>
      </c>
      <c r="B48" s="15"/>
      <c r="C48" s="12" t="n">
        <f aca="false">COUNTIF(L25:L39,"完了")</f>
        <v>0</v>
      </c>
    </row>
    <row r="50" customFormat="false" ht="48.5" hidden="false" customHeight="false" outlineLevel="0" collapsed="false">
      <c r="A50" s="14" t="s">
        <v>183</v>
      </c>
    </row>
    <row r="51" customFormat="false" ht="15" hidden="false" customHeight="true" outlineLevel="0" collapsed="false">
      <c r="A51" s="11" t="s">
        <v>29</v>
      </c>
      <c r="B51" s="5" t="s">
        <v>184</v>
      </c>
      <c r="C51" s="5" t="s">
        <v>185</v>
      </c>
      <c r="D51" s="5"/>
      <c r="E51" s="5"/>
      <c r="F51" s="5"/>
      <c r="G51" s="5"/>
      <c r="H51" s="5"/>
      <c r="I51" s="5" t="s">
        <v>186</v>
      </c>
      <c r="J51" s="5"/>
      <c r="K51" s="5"/>
      <c r="L51" s="5"/>
    </row>
    <row r="52" customFormat="false" ht="30" hidden="false" customHeight="true" outlineLevel="0" collapsed="false">
      <c r="A52" s="12" t="n">
        <v>1</v>
      </c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30" hidden="false" customHeight="true" outlineLevel="0" collapsed="false">
      <c r="A53" s="12" t="n">
        <v>2</v>
      </c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30" hidden="false" customHeight="true" outlineLevel="0" collapsed="false">
      <c r="A54" s="12" t="n">
        <v>3</v>
      </c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30" hidden="false" customHeight="true" outlineLevel="0" collapsed="false">
      <c r="A55" s="12" t="n">
        <v>4</v>
      </c>
      <c r="B55" s="13"/>
      <c r="C55" s="8"/>
      <c r="D55" s="8"/>
      <c r="E55" s="8"/>
      <c r="F55" s="8"/>
      <c r="G55" s="8"/>
      <c r="H55" s="8"/>
      <c r="I55" s="8"/>
      <c r="J55" s="8"/>
      <c r="K55" s="8"/>
      <c r="L55" s="8"/>
    </row>
    <row r="57" customFormat="false" ht="79.85" hidden="false" customHeight="false" outlineLevel="0" collapsed="false">
      <c r="A57" s="14" t="s">
        <v>187</v>
      </c>
    </row>
    <row r="58" customFormat="false" ht="15" hidden="false" customHeight="true" outlineLevel="0" collapsed="false">
      <c r="A58" s="11" t="s">
        <v>29</v>
      </c>
      <c r="B58" s="5" t="s">
        <v>10</v>
      </c>
      <c r="C58" s="5"/>
      <c r="D58" s="5"/>
      <c r="E58" s="5"/>
      <c r="F58" s="5"/>
      <c r="G58" s="5"/>
      <c r="H58" s="5"/>
      <c r="I58" s="5" t="s">
        <v>188</v>
      </c>
      <c r="J58" s="5" t="s">
        <v>189</v>
      </c>
      <c r="K58" s="5" t="s">
        <v>174</v>
      </c>
      <c r="L58" s="5"/>
    </row>
    <row r="59" customFormat="false" ht="30" hidden="false" customHeight="true" outlineLevel="0" collapsed="false">
      <c r="A59" s="12" t="n">
        <v>1</v>
      </c>
      <c r="B59" s="8"/>
      <c r="C59" s="8"/>
      <c r="D59" s="8"/>
      <c r="E59" s="8"/>
      <c r="F59" s="8"/>
      <c r="G59" s="8"/>
      <c r="H59" s="8"/>
      <c r="I59" s="8"/>
      <c r="J59" s="13"/>
      <c r="K59" s="13"/>
      <c r="L59" s="13"/>
    </row>
    <row r="60" customFormat="false" ht="30" hidden="false" customHeight="true" outlineLevel="0" collapsed="false">
      <c r="A60" s="12" t="n">
        <v>2</v>
      </c>
      <c r="B60" s="8"/>
      <c r="C60" s="8"/>
      <c r="D60" s="8"/>
      <c r="E60" s="8"/>
      <c r="F60" s="8"/>
      <c r="G60" s="8"/>
      <c r="H60" s="8"/>
      <c r="I60" s="8"/>
      <c r="J60" s="13"/>
      <c r="K60" s="13"/>
      <c r="L60" s="13"/>
    </row>
    <row r="61" customFormat="false" ht="30" hidden="false" customHeight="true" outlineLevel="0" collapsed="false">
      <c r="A61" s="12" t="n">
        <v>3</v>
      </c>
      <c r="B61" s="8"/>
      <c r="C61" s="8"/>
      <c r="D61" s="8"/>
      <c r="E61" s="8"/>
      <c r="F61" s="8"/>
      <c r="G61" s="8"/>
      <c r="H61" s="8"/>
      <c r="I61" s="8"/>
      <c r="J61" s="13"/>
      <c r="K61" s="13"/>
      <c r="L61" s="13"/>
    </row>
    <row r="62" customFormat="false" ht="30" hidden="false" customHeight="true" outlineLevel="0" collapsed="false">
      <c r="A62" s="12" t="n">
        <v>4</v>
      </c>
      <c r="B62" s="8"/>
      <c r="C62" s="8"/>
      <c r="D62" s="8"/>
      <c r="E62" s="8"/>
      <c r="F62" s="8"/>
      <c r="G62" s="8"/>
      <c r="H62" s="8"/>
      <c r="I62" s="8"/>
      <c r="J62" s="13"/>
      <c r="K62" s="13"/>
      <c r="L62" s="13"/>
    </row>
  </sheetData>
  <mergeCells count="56">
    <mergeCell ref="A5:B5"/>
    <mergeCell ref="C5:L5"/>
    <mergeCell ref="A6:B6"/>
    <mergeCell ref="C6:L6"/>
    <mergeCell ref="A7:B7"/>
    <mergeCell ref="C7:L7"/>
    <mergeCell ref="A8:B8"/>
    <mergeCell ref="C8:L8"/>
    <mergeCell ref="A9:B9"/>
    <mergeCell ref="C9:L9"/>
    <mergeCell ref="A10:B10"/>
    <mergeCell ref="C10:L10"/>
    <mergeCell ref="A11:B11"/>
    <mergeCell ref="C11:L11"/>
    <mergeCell ref="A12:B12"/>
    <mergeCell ref="C12:L12"/>
    <mergeCell ref="B15:C15"/>
    <mergeCell ref="E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A23:L23"/>
    <mergeCell ref="A42:B42"/>
    <mergeCell ref="A43:B43"/>
    <mergeCell ref="A44:B44"/>
    <mergeCell ref="A45:B45"/>
    <mergeCell ref="A46:B46"/>
    <mergeCell ref="A47:B47"/>
    <mergeCell ref="A48:B48"/>
    <mergeCell ref="C51:H51"/>
    <mergeCell ref="I51:L51"/>
    <mergeCell ref="C52:H52"/>
    <mergeCell ref="I52:L52"/>
    <mergeCell ref="C53:H53"/>
    <mergeCell ref="I53:L53"/>
    <mergeCell ref="C54:H54"/>
    <mergeCell ref="I54:L54"/>
    <mergeCell ref="C55:H55"/>
    <mergeCell ref="I55:L55"/>
    <mergeCell ref="B58:H58"/>
    <mergeCell ref="K58:L58"/>
    <mergeCell ref="B59:H59"/>
    <mergeCell ref="K59:L59"/>
    <mergeCell ref="B60:H60"/>
    <mergeCell ref="K60:L60"/>
    <mergeCell ref="B61:H61"/>
    <mergeCell ref="K61:L61"/>
    <mergeCell ref="B62:H62"/>
    <mergeCell ref="K62:L62"/>
  </mergeCells>
  <conditionalFormatting sqref="G25:G39">
    <cfRule type="cellIs" priority="2" operator="equal" aboveAverage="0" equalAverage="0" bottom="0" percent="0" rank="0" text="" dxfId="0">
      <formula>"高"</formula>
    </cfRule>
    <cfRule type="cellIs" priority="3" operator="equal" aboveAverage="0" equalAverage="0" bottom="0" percent="0" rank="0" text="" dxfId="1">
      <formula>"中"</formula>
    </cfRule>
    <cfRule type="cellIs" priority="4" operator="equal" aboveAverage="0" equalAverage="0" bottom="0" percent="0" rank="0" text="" dxfId="2">
      <formula>"低"</formula>
    </cfRule>
  </conditionalFormatting>
  <dataValidations count="7">
    <dataValidation allowBlank="true" errorStyle="stop" operator="between" showDropDown="false" showErrorMessage="false" showInputMessage="false" sqref="D16:D20" type="list">
      <formula1>"シグネチャ変更,戻り値/例外変更,内部ロジック,追加,削除/リネーム,設定変更,DB変更"</formula1>
      <formula2>0</formula2>
    </dataValidation>
    <dataValidation allowBlank="true" errorStyle="stop" operator="between" showDropDown="false" showErrorMessage="false" showInputMessage="false" sqref="C25:C39" type="list">
      <formula1>"画面,API,バッチ,共通部品,DB,外部連携,設定,非機能,運用,ドキュメント"</formula1>
      <formula2>0</formula2>
    </dataValidation>
    <dataValidation allowBlank="true" errorStyle="stop" operator="between" showDropDown="false" showErrorMessage="false" showInputMessage="false" sqref="E25:F39" type="list">
      <formula1>"高,中,低"</formula1>
      <formula2>0</formula2>
    </dataValidation>
    <dataValidation allowBlank="true" errorStyle="stop" operator="between" showDropDown="false" showErrorMessage="false" showInputMessage="false" sqref="H25:H39" type="list">
      <formula1>"要,不要,要確認"</formula1>
      <formula2>0</formula2>
    </dataValidation>
    <dataValidation allowBlank="true" errorStyle="stop" operator="between" showDropDown="false" showErrorMessage="false" showInputMessage="false" sqref="L25:L39" type="list">
      <formula1>"未着手,対応中,完了"</formula1>
      <formula2>0</formula2>
    </dataValidation>
    <dataValidation allowBlank="true" errorStyle="stop" operator="between" showDropDown="false" showErrorMessage="false" showInputMessage="false" sqref="B52:B55" type="list">
      <formula1>"単体,結合,システム,回帰,性能,受入"</formula1>
      <formula2>0</formula2>
    </dataValidation>
    <dataValidation allowBlank="true" errorStyle="stop" operator="between" showDropDown="false" showErrorMessage="false" showInputMessage="false" sqref="K59:K62" type="list">
      <formula1>"未確認,確認中,確認済"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39.55" hidden="false" customHeight="false" outlineLevel="0" collapsed="false">
      <c r="A1" s="1" t="s">
        <v>190</v>
      </c>
    </row>
    <row r="2" customFormat="false" ht="77.6" hidden="false" customHeight="false" outlineLevel="0" collapsed="false">
      <c r="A2" s="2" t="s">
        <v>191</v>
      </c>
    </row>
    <row r="4" customFormat="false" ht="79.85" hidden="false" customHeight="false" outlineLevel="0" collapsed="false">
      <c r="A4" s="14" t="s">
        <v>150</v>
      </c>
    </row>
    <row r="5" customFormat="false" ht="15" hidden="false" customHeight="true" outlineLevel="0" collapsed="false">
      <c r="A5" s="15" t="s">
        <v>151</v>
      </c>
      <c r="B5" s="15"/>
      <c r="C5" s="18" t="s">
        <v>192</v>
      </c>
      <c r="D5" s="18"/>
      <c r="E5" s="18"/>
      <c r="F5" s="18"/>
      <c r="G5" s="18"/>
      <c r="H5" s="18"/>
      <c r="I5" s="18"/>
      <c r="J5" s="18"/>
      <c r="K5" s="18"/>
      <c r="L5" s="18"/>
    </row>
    <row r="6" customFormat="false" ht="15" hidden="false" customHeight="true" outlineLevel="0" collapsed="false">
      <c r="A6" s="15" t="s">
        <v>152</v>
      </c>
      <c r="B6" s="15"/>
      <c r="C6" s="8" t="s">
        <v>193</v>
      </c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true" outlineLevel="0" collapsed="false">
      <c r="A7" s="15" t="s">
        <v>153</v>
      </c>
      <c r="B7" s="15"/>
      <c r="C7" s="18" t="s">
        <v>194</v>
      </c>
      <c r="D7" s="18"/>
      <c r="E7" s="18"/>
      <c r="F7" s="18"/>
      <c r="G7" s="18"/>
      <c r="H7" s="18"/>
      <c r="I7" s="18"/>
      <c r="J7" s="18"/>
      <c r="K7" s="18"/>
      <c r="L7" s="18"/>
    </row>
    <row r="8" customFormat="false" ht="15" hidden="false" customHeight="true" outlineLevel="0" collapsed="false">
      <c r="A8" s="15" t="s">
        <v>154</v>
      </c>
      <c r="B8" s="15"/>
      <c r="C8" s="8" t="s">
        <v>195</v>
      </c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true" outlineLevel="0" collapsed="false">
      <c r="A9" s="15" t="s">
        <v>155</v>
      </c>
      <c r="B9" s="15"/>
      <c r="C9" s="18" t="s">
        <v>196</v>
      </c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" hidden="false" customHeight="true" outlineLevel="0" collapsed="false">
      <c r="A10" s="15" t="s">
        <v>156</v>
      </c>
      <c r="B10" s="15"/>
      <c r="C10" s="8" t="s">
        <v>197</v>
      </c>
      <c r="D10" s="8"/>
      <c r="E10" s="8"/>
      <c r="F10" s="8"/>
      <c r="G10" s="8"/>
      <c r="H10" s="8"/>
      <c r="I10" s="8"/>
      <c r="J10" s="8"/>
      <c r="K10" s="8"/>
      <c r="L10" s="8"/>
    </row>
    <row r="11" customFormat="false" ht="48" hidden="false" customHeight="true" outlineLevel="0" collapsed="false">
      <c r="A11" s="15" t="s">
        <v>157</v>
      </c>
      <c r="B11" s="15"/>
      <c r="C11" s="8" t="s">
        <v>198</v>
      </c>
      <c r="D11" s="8"/>
      <c r="E11" s="8"/>
      <c r="F11" s="8"/>
      <c r="G11" s="8"/>
      <c r="H11" s="8"/>
      <c r="I11" s="8"/>
      <c r="J11" s="8"/>
      <c r="K11" s="8"/>
      <c r="L11" s="8"/>
    </row>
    <row r="12" customFormat="false" ht="48" hidden="false" customHeight="true" outlineLevel="0" collapsed="false">
      <c r="A12" s="15" t="s">
        <v>158</v>
      </c>
      <c r="B12" s="15"/>
      <c r="C12" s="8" t="s">
        <v>199</v>
      </c>
      <c r="D12" s="8"/>
      <c r="E12" s="8"/>
      <c r="F12" s="8"/>
      <c r="G12" s="8"/>
      <c r="H12" s="8"/>
      <c r="I12" s="8"/>
      <c r="J12" s="8"/>
      <c r="K12" s="8"/>
      <c r="L12" s="8"/>
    </row>
    <row r="14" customFormat="false" ht="48.5" hidden="false" customHeight="false" outlineLevel="0" collapsed="false">
      <c r="A14" s="14" t="s">
        <v>159</v>
      </c>
    </row>
    <row r="15" customFormat="false" ht="15" hidden="false" customHeight="true" outlineLevel="0" collapsed="false">
      <c r="A15" s="11" t="s">
        <v>29</v>
      </c>
      <c r="B15" s="5" t="s">
        <v>160</v>
      </c>
      <c r="C15" s="5"/>
      <c r="D15" s="5" t="s">
        <v>161</v>
      </c>
      <c r="E15" s="5" t="s">
        <v>162</v>
      </c>
      <c r="F15" s="5"/>
      <c r="G15" s="5"/>
      <c r="H15" s="5"/>
      <c r="I15" s="5"/>
      <c r="J15" s="5"/>
      <c r="K15" s="5"/>
      <c r="L15" s="5"/>
    </row>
    <row r="16" customFormat="false" ht="30" hidden="false" customHeight="true" outlineLevel="0" collapsed="false">
      <c r="A16" s="12" t="n">
        <v>1</v>
      </c>
      <c r="B16" s="8" t="s">
        <v>200</v>
      </c>
      <c r="C16" s="8"/>
      <c r="D16" s="19" t="s">
        <v>201</v>
      </c>
      <c r="E16" s="8" t="s">
        <v>202</v>
      </c>
      <c r="F16" s="8"/>
      <c r="G16" s="8"/>
      <c r="H16" s="8"/>
      <c r="I16" s="8"/>
      <c r="J16" s="8"/>
      <c r="K16" s="8"/>
      <c r="L16" s="8"/>
    </row>
    <row r="17" customFormat="false" ht="30" hidden="false" customHeight="true" outlineLevel="0" collapsed="false">
      <c r="A17" s="12" t="n">
        <v>2</v>
      </c>
      <c r="B17" s="8" t="s">
        <v>203</v>
      </c>
      <c r="C17" s="8"/>
      <c r="D17" s="19" t="s">
        <v>204</v>
      </c>
      <c r="E17" s="18" t="s">
        <v>205</v>
      </c>
      <c r="F17" s="18"/>
      <c r="G17" s="18"/>
      <c r="H17" s="18"/>
      <c r="I17" s="18"/>
      <c r="J17" s="18"/>
      <c r="K17" s="18"/>
      <c r="L17" s="18"/>
    </row>
    <row r="18" customFormat="false" ht="30" hidden="false" customHeight="true" outlineLevel="0" collapsed="false">
      <c r="A18" s="12" t="n">
        <v>3</v>
      </c>
      <c r="B18" s="8"/>
      <c r="C18" s="8"/>
      <c r="D18" s="19"/>
      <c r="E18" s="18"/>
      <c r="F18" s="18"/>
      <c r="G18" s="18"/>
      <c r="H18" s="18"/>
      <c r="I18" s="18"/>
      <c r="J18" s="18"/>
      <c r="K18" s="18"/>
      <c r="L18" s="18"/>
    </row>
    <row r="19" customFormat="false" ht="30" hidden="false" customHeight="true" outlineLevel="0" collapsed="false">
      <c r="A19" s="12" t="n">
        <v>4</v>
      </c>
      <c r="B19" s="8"/>
      <c r="C19" s="8"/>
      <c r="D19" s="19"/>
      <c r="E19" s="18"/>
      <c r="F19" s="18"/>
      <c r="G19" s="18"/>
      <c r="H19" s="18"/>
      <c r="I19" s="18"/>
      <c r="J19" s="18"/>
      <c r="K19" s="18"/>
      <c r="L19" s="18"/>
    </row>
    <row r="20" customFormat="false" ht="30" hidden="false" customHeight="true" outlineLevel="0" collapsed="false">
      <c r="A20" s="12" t="n">
        <v>5</v>
      </c>
      <c r="B20" s="8"/>
      <c r="C20" s="8"/>
      <c r="D20" s="19"/>
      <c r="E20" s="18"/>
      <c r="F20" s="18"/>
      <c r="G20" s="18"/>
      <c r="H20" s="18"/>
      <c r="I20" s="18"/>
      <c r="J20" s="18"/>
      <c r="K20" s="18"/>
      <c r="L20" s="18"/>
    </row>
    <row r="22" customFormat="false" ht="64.15" hidden="false" customHeight="false" outlineLevel="0" collapsed="false">
      <c r="A22" s="14" t="s">
        <v>163</v>
      </c>
    </row>
    <row r="23" customFormat="false" ht="15" hidden="false" customHeight="true" outlineLevel="0" collapsed="false">
      <c r="A23" s="16" t="s">
        <v>164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customFormat="false" ht="15" hidden="false" customHeight="false" outlineLevel="0" collapsed="false">
      <c r="A24" s="11" t="s">
        <v>29</v>
      </c>
      <c r="B24" s="5" t="s">
        <v>165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26</v>
      </c>
      <c r="H24" s="5" t="s">
        <v>170</v>
      </c>
      <c r="I24" s="5" t="s">
        <v>171</v>
      </c>
      <c r="J24" s="5" t="s">
        <v>172</v>
      </c>
      <c r="K24" s="5" t="s">
        <v>173</v>
      </c>
      <c r="L24" s="5" t="s">
        <v>174</v>
      </c>
    </row>
    <row r="25" customFormat="false" ht="29.85" hidden="false" customHeight="false" outlineLevel="0" collapsed="false">
      <c r="A25" s="12" t="n">
        <v>1</v>
      </c>
      <c r="B25" s="18" t="s">
        <v>206</v>
      </c>
      <c r="C25" s="19" t="s">
        <v>207</v>
      </c>
      <c r="D25" s="18" t="s">
        <v>208</v>
      </c>
      <c r="E25" s="19" t="s">
        <v>209</v>
      </c>
      <c r="F25" s="19" t="s">
        <v>210</v>
      </c>
      <c r="G25" s="12" t="str">
        <f aca="false">IF(OR(E25="",F25=""),"",IF((4-MATCH(E25,{"高","中","低"},0))*(4-MATCH(F25,{"高","中","低"},0))&gt;=6,"高",IF((4-MATCH(E25,{"高","中","低"},0))*(4-MATCH(F25,{"高","中","低"},0))&gt;=3,"中","低")))</f>
        <v>高</v>
      </c>
      <c r="H25" s="19" t="s">
        <v>211</v>
      </c>
      <c r="I25" s="18" t="s">
        <v>212</v>
      </c>
      <c r="J25" s="8" t="s">
        <v>213</v>
      </c>
      <c r="K25" s="19" t="s">
        <v>194</v>
      </c>
      <c r="L25" s="19" t="s">
        <v>214</v>
      </c>
    </row>
    <row r="26" customFormat="false" ht="15" hidden="false" customHeight="false" outlineLevel="0" collapsed="false">
      <c r="A26" s="12" t="n">
        <v>2</v>
      </c>
      <c r="B26" s="18" t="s">
        <v>215</v>
      </c>
      <c r="C26" s="13" t="s">
        <v>216</v>
      </c>
      <c r="D26" s="18" t="s">
        <v>217</v>
      </c>
      <c r="E26" s="19" t="s">
        <v>209</v>
      </c>
      <c r="F26" s="19" t="s">
        <v>210</v>
      </c>
      <c r="G26" s="12" t="str">
        <f aca="false">IF(OR(E26="",F26=""),"",IF((4-MATCH(E26,{"高","中","低"},0))*(4-MATCH(F26,{"高","中","低"},0))&gt;=6,"高",IF((4-MATCH(E26,{"高","中","低"},0))*(4-MATCH(F26,{"高","中","低"},0))&gt;=3,"中","低")))</f>
        <v>高</v>
      </c>
      <c r="H26" s="19" t="s">
        <v>211</v>
      </c>
      <c r="I26" s="18" t="s">
        <v>218</v>
      </c>
      <c r="J26" s="8" t="s">
        <v>219</v>
      </c>
      <c r="K26" s="19" t="s">
        <v>194</v>
      </c>
      <c r="L26" s="19" t="s">
        <v>220</v>
      </c>
    </row>
    <row r="27" customFormat="false" ht="29.85" hidden="false" customHeight="false" outlineLevel="0" collapsed="false">
      <c r="A27" s="12" t="n">
        <v>3</v>
      </c>
      <c r="B27" s="18" t="s">
        <v>221</v>
      </c>
      <c r="C27" s="19" t="s">
        <v>222</v>
      </c>
      <c r="D27" s="18" t="s">
        <v>223</v>
      </c>
      <c r="E27" s="19" t="s">
        <v>210</v>
      </c>
      <c r="F27" s="19" t="s">
        <v>209</v>
      </c>
      <c r="G27" s="12" t="str">
        <f aca="false">IF(OR(E27="",F27=""),"",IF((4-MATCH(E27,{"高","中","低"},0))*(4-MATCH(F27,{"高","中","低"},0))&gt;=6,"高",IF((4-MATCH(E27,{"高","中","低"},0))*(4-MATCH(F27,{"高","中","低"},0))&gt;=3,"中","低")))</f>
        <v>高</v>
      </c>
      <c r="H27" s="19" t="s">
        <v>211</v>
      </c>
      <c r="I27" s="18" t="s">
        <v>224</v>
      </c>
      <c r="J27" s="18" t="s">
        <v>225</v>
      </c>
      <c r="K27" s="19" t="s">
        <v>226</v>
      </c>
      <c r="L27" s="19" t="s">
        <v>220</v>
      </c>
    </row>
    <row r="28" customFormat="false" ht="15" hidden="false" customHeight="false" outlineLevel="0" collapsed="false">
      <c r="A28" s="12" t="n">
        <v>4</v>
      </c>
      <c r="B28" s="18" t="s">
        <v>227</v>
      </c>
      <c r="C28" s="19" t="s">
        <v>88</v>
      </c>
      <c r="D28" s="18" t="s">
        <v>228</v>
      </c>
      <c r="E28" s="19" t="s">
        <v>210</v>
      </c>
      <c r="F28" s="19" t="s">
        <v>209</v>
      </c>
      <c r="G28" s="12" t="str">
        <f aca="false">IF(OR(E28="",F28=""),"",IF((4-MATCH(E28,{"高","中","低"},0))*(4-MATCH(F28,{"高","中","低"},0))&gt;=6,"高",IF((4-MATCH(E28,{"高","中","低"},0))*(4-MATCH(F28,{"高","中","低"},0))&gt;=3,"中","低")))</f>
        <v>高</v>
      </c>
      <c r="H28" s="19" t="s">
        <v>181</v>
      </c>
      <c r="I28" s="18" t="s">
        <v>229</v>
      </c>
      <c r="J28" s="8" t="s">
        <v>230</v>
      </c>
      <c r="K28" s="19" t="s">
        <v>226</v>
      </c>
      <c r="L28" s="19" t="s">
        <v>220</v>
      </c>
    </row>
    <row r="29" customFormat="false" ht="29.85" hidden="false" customHeight="false" outlineLevel="0" collapsed="false">
      <c r="A29" s="12" t="n">
        <v>5</v>
      </c>
      <c r="B29" s="8" t="s">
        <v>231</v>
      </c>
      <c r="C29" s="13" t="s">
        <v>138</v>
      </c>
      <c r="D29" s="18" t="s">
        <v>232</v>
      </c>
      <c r="E29" s="19" t="s">
        <v>209</v>
      </c>
      <c r="F29" s="19" t="s">
        <v>233</v>
      </c>
      <c r="G29" s="12" t="str">
        <f aca="false">IF(OR(E29="",F29=""),"",IF((4-MATCH(E29,{"高","中","低"},0))*(4-MATCH(F29,{"高","中","低"},0))&gt;=6,"高",IF((4-MATCH(E29,{"高","中","低"},0))*(4-MATCH(F29,{"高","中","低"},0))&gt;=3,"中","低")))</f>
        <v>低</v>
      </c>
      <c r="H29" s="19" t="s">
        <v>234</v>
      </c>
      <c r="I29" s="18" t="s">
        <v>235</v>
      </c>
      <c r="J29" s="8" t="s">
        <v>236</v>
      </c>
      <c r="K29" s="19" t="s">
        <v>194</v>
      </c>
      <c r="L29" s="19" t="s">
        <v>182</v>
      </c>
    </row>
    <row r="30" customFormat="false" ht="15" hidden="false" customHeight="false" outlineLevel="0" collapsed="false">
      <c r="A30" s="12" t="n">
        <v>6</v>
      </c>
      <c r="B30" s="18" t="s">
        <v>237</v>
      </c>
      <c r="C30" s="19" t="s">
        <v>99</v>
      </c>
      <c r="D30" s="18" t="s">
        <v>238</v>
      </c>
      <c r="E30" s="19" t="s">
        <v>233</v>
      </c>
      <c r="F30" s="19" t="s">
        <v>209</v>
      </c>
      <c r="G30" s="12" t="str">
        <f aca="false">IF(OR(E30="",F30=""),"",IF((4-MATCH(E30,{"高","中","低"},0))*(4-MATCH(F30,{"高","中","低"},0))&gt;=6,"高",IF((4-MATCH(E30,{"高","中","低"},0))*(4-MATCH(F30,{"高","中","低"},0))&gt;=3,"中","低")))</f>
        <v>低</v>
      </c>
      <c r="H30" s="19" t="s">
        <v>211</v>
      </c>
      <c r="I30" s="18" t="s">
        <v>239</v>
      </c>
      <c r="J30" s="18" t="s">
        <v>240</v>
      </c>
      <c r="K30" s="19" t="s">
        <v>196</v>
      </c>
      <c r="L30" s="19" t="s">
        <v>220</v>
      </c>
    </row>
    <row r="31" customFormat="false" ht="15" hidden="false" customHeight="false" outlineLevel="0" collapsed="false">
      <c r="A31" s="12" t="n">
        <v>7</v>
      </c>
      <c r="B31" s="18"/>
      <c r="C31" s="19"/>
      <c r="D31" s="18"/>
      <c r="E31" s="19"/>
      <c r="F31" s="19"/>
      <c r="G31" s="12" t="str">
        <f aca="false">IF(OR(E31="",F31=""),"",IF((4-MATCH(E31,{"高","中","低"},0))*(4-MATCH(F31,{"高","中","低"},0))&gt;=6,"高",IF((4-MATCH(E31,{"高","中","低"},0))*(4-MATCH(F31,{"高","中","低"},0))&gt;=3,"中","低")))</f>
        <v/>
      </c>
      <c r="H31" s="19"/>
      <c r="I31" s="18"/>
      <c r="J31" s="18"/>
      <c r="K31" s="19"/>
      <c r="L31" s="19"/>
    </row>
    <row r="32" customFormat="false" ht="15" hidden="false" customHeight="false" outlineLevel="0" collapsed="false">
      <c r="A32" s="12" t="n">
        <v>8</v>
      </c>
      <c r="B32" s="18"/>
      <c r="C32" s="19"/>
      <c r="D32" s="18"/>
      <c r="E32" s="19"/>
      <c r="F32" s="19"/>
      <c r="G32" s="12" t="str">
        <f aca="false">IF(OR(E32="",F32=""),"",IF((4-MATCH(E32,{"高","中","低"},0))*(4-MATCH(F32,{"高","中","低"},0))&gt;=6,"高",IF((4-MATCH(E32,{"高","中","低"},0))*(4-MATCH(F32,{"高","中","低"},0))&gt;=3,"中","低")))</f>
        <v/>
      </c>
      <c r="H32" s="19"/>
      <c r="I32" s="18"/>
      <c r="J32" s="18"/>
      <c r="K32" s="19"/>
      <c r="L32" s="19"/>
    </row>
    <row r="34" customFormat="false" ht="15" hidden="false" customHeight="false" outlineLevel="0" collapsed="false">
      <c r="A34" s="17" t="s">
        <v>175</v>
      </c>
    </row>
    <row r="35" customFormat="false" ht="15" hidden="false" customHeight="true" outlineLevel="0" collapsed="false">
      <c r="A35" s="15" t="s">
        <v>176</v>
      </c>
      <c r="B35" s="15"/>
      <c r="C35" s="12" t="n">
        <f aca="false">COUNTA(B25:B32)</f>
        <v>6</v>
      </c>
    </row>
    <row r="36" customFormat="false" ht="15" hidden="false" customHeight="true" outlineLevel="0" collapsed="false">
      <c r="A36" s="15" t="s">
        <v>177</v>
      </c>
      <c r="B36" s="15"/>
      <c r="C36" s="12" t="n">
        <f aca="false">COUNTIF(G25:G32,"高")</f>
        <v>4</v>
      </c>
    </row>
    <row r="37" customFormat="false" ht="15" hidden="false" customHeight="true" outlineLevel="0" collapsed="false">
      <c r="A37" s="15" t="s">
        <v>178</v>
      </c>
      <c r="B37" s="15"/>
      <c r="C37" s="12" t="n">
        <f aca="false">COUNTIF(G25:G32,"中")</f>
        <v>0</v>
      </c>
    </row>
    <row r="38" customFormat="false" ht="15" hidden="false" customHeight="true" outlineLevel="0" collapsed="false">
      <c r="A38" s="15" t="s">
        <v>179</v>
      </c>
      <c r="B38" s="15"/>
      <c r="C38" s="12" t="n">
        <f aca="false">COUNTIF(G25:G32,"低")</f>
        <v>2</v>
      </c>
    </row>
    <row r="39" customFormat="false" ht="15" hidden="false" customHeight="true" outlineLevel="0" collapsed="false">
      <c r="A39" s="15" t="s">
        <v>180</v>
      </c>
      <c r="B39" s="15"/>
      <c r="C39" s="12" t="n">
        <f aca="false">COUNTIF(H25:H32,"要")</f>
        <v>4</v>
      </c>
    </row>
    <row r="40" customFormat="false" ht="15" hidden="false" customHeight="true" outlineLevel="0" collapsed="false">
      <c r="A40" s="15" t="s">
        <v>181</v>
      </c>
      <c r="B40" s="15"/>
      <c r="C40" s="12" t="n">
        <f aca="false">COUNTIF(H25:H32,"要確認")</f>
        <v>1</v>
      </c>
    </row>
    <row r="41" customFormat="false" ht="15" hidden="false" customHeight="true" outlineLevel="0" collapsed="false">
      <c r="A41" s="15" t="s">
        <v>182</v>
      </c>
      <c r="B41" s="15"/>
      <c r="C41" s="12" t="n">
        <f aca="false">COUNTIF(L25:L32,"完了")</f>
        <v>1</v>
      </c>
    </row>
    <row r="43" customFormat="false" ht="48.5" hidden="false" customHeight="false" outlineLevel="0" collapsed="false">
      <c r="A43" s="14" t="s">
        <v>183</v>
      </c>
    </row>
    <row r="44" customFormat="false" ht="15" hidden="false" customHeight="true" outlineLevel="0" collapsed="false">
      <c r="A44" s="11" t="s">
        <v>29</v>
      </c>
      <c r="B44" s="5" t="s">
        <v>184</v>
      </c>
      <c r="C44" s="5" t="s">
        <v>185</v>
      </c>
      <c r="D44" s="5"/>
      <c r="E44" s="5"/>
      <c r="F44" s="5"/>
      <c r="G44" s="5"/>
      <c r="H44" s="5"/>
      <c r="I44" s="5" t="s">
        <v>186</v>
      </c>
      <c r="J44" s="5"/>
      <c r="K44" s="5"/>
      <c r="L44" s="5"/>
    </row>
    <row r="45" customFormat="false" ht="30" hidden="false" customHeight="true" outlineLevel="0" collapsed="false">
      <c r="A45" s="12" t="n">
        <v>1</v>
      </c>
      <c r="B45" s="19" t="s">
        <v>241</v>
      </c>
      <c r="C45" s="8" t="s">
        <v>242</v>
      </c>
      <c r="D45" s="8"/>
      <c r="E45" s="8"/>
      <c r="F45" s="8"/>
      <c r="G45" s="8"/>
      <c r="H45" s="8"/>
      <c r="I45" s="18" t="s">
        <v>243</v>
      </c>
      <c r="J45" s="18"/>
      <c r="K45" s="18"/>
      <c r="L45" s="18"/>
    </row>
    <row r="46" customFormat="false" ht="30" hidden="false" customHeight="true" outlineLevel="0" collapsed="false">
      <c r="A46" s="12" t="n">
        <v>2</v>
      </c>
      <c r="B46" s="19" t="s">
        <v>244</v>
      </c>
      <c r="C46" s="18" t="s">
        <v>245</v>
      </c>
      <c r="D46" s="18"/>
      <c r="E46" s="18"/>
      <c r="F46" s="18"/>
      <c r="G46" s="18"/>
      <c r="H46" s="18"/>
      <c r="I46" s="18" t="s">
        <v>246</v>
      </c>
      <c r="J46" s="18"/>
      <c r="K46" s="18"/>
      <c r="L46" s="18"/>
    </row>
    <row r="47" customFormat="false" ht="30" hidden="false" customHeight="true" outlineLevel="0" collapsed="false">
      <c r="A47" s="12" t="n">
        <v>3</v>
      </c>
      <c r="B47" s="19" t="s">
        <v>247</v>
      </c>
      <c r="C47" s="18" t="s">
        <v>248</v>
      </c>
      <c r="D47" s="18"/>
      <c r="E47" s="18"/>
      <c r="F47" s="18"/>
      <c r="G47" s="18"/>
      <c r="H47" s="18"/>
      <c r="I47" s="18" t="s">
        <v>249</v>
      </c>
      <c r="J47" s="18"/>
      <c r="K47" s="18"/>
      <c r="L47" s="18"/>
    </row>
    <row r="48" customFormat="false" ht="30" hidden="false" customHeight="true" outlineLevel="0" collapsed="false">
      <c r="A48" s="12" t="n">
        <v>4</v>
      </c>
      <c r="B48" s="19" t="s">
        <v>244</v>
      </c>
      <c r="C48" s="18" t="s">
        <v>250</v>
      </c>
      <c r="D48" s="18"/>
      <c r="E48" s="18"/>
      <c r="F48" s="18"/>
      <c r="G48" s="18"/>
      <c r="H48" s="18"/>
      <c r="I48" s="18" t="s">
        <v>251</v>
      </c>
      <c r="J48" s="18"/>
      <c r="K48" s="18"/>
      <c r="L48" s="18"/>
    </row>
    <row r="50" customFormat="false" ht="79.85" hidden="false" customHeight="false" outlineLevel="0" collapsed="false">
      <c r="A50" s="14" t="s">
        <v>187</v>
      </c>
    </row>
    <row r="51" customFormat="false" ht="15" hidden="false" customHeight="true" outlineLevel="0" collapsed="false">
      <c r="A51" s="11" t="s">
        <v>29</v>
      </c>
      <c r="B51" s="5" t="s">
        <v>10</v>
      </c>
      <c r="C51" s="5"/>
      <c r="D51" s="5"/>
      <c r="E51" s="5"/>
      <c r="F51" s="5"/>
      <c r="G51" s="5"/>
      <c r="H51" s="5"/>
      <c r="I51" s="5" t="s">
        <v>188</v>
      </c>
      <c r="J51" s="5" t="s">
        <v>189</v>
      </c>
      <c r="K51" s="5" t="s">
        <v>174</v>
      </c>
      <c r="L51" s="5"/>
    </row>
    <row r="52" customFormat="false" ht="30" hidden="false" customHeight="true" outlineLevel="0" collapsed="false">
      <c r="A52" s="12" t="n">
        <v>1</v>
      </c>
      <c r="B52" s="18" t="s">
        <v>252</v>
      </c>
      <c r="C52" s="18"/>
      <c r="D52" s="18"/>
      <c r="E52" s="18"/>
      <c r="F52" s="18"/>
      <c r="G52" s="18"/>
      <c r="H52" s="18"/>
      <c r="I52" s="18" t="s">
        <v>253</v>
      </c>
      <c r="J52" s="13" t="s">
        <v>254</v>
      </c>
      <c r="K52" s="19" t="s">
        <v>255</v>
      </c>
      <c r="L52" s="19"/>
    </row>
    <row r="53" customFormat="false" ht="30" hidden="false" customHeight="true" outlineLevel="0" collapsed="false">
      <c r="A53" s="12" t="n">
        <v>2</v>
      </c>
      <c r="B53" s="18" t="s">
        <v>256</v>
      </c>
      <c r="C53" s="18"/>
      <c r="D53" s="18"/>
      <c r="E53" s="18"/>
      <c r="F53" s="18"/>
      <c r="G53" s="18"/>
      <c r="H53" s="18"/>
      <c r="I53" s="18" t="s">
        <v>257</v>
      </c>
      <c r="J53" s="13" t="s">
        <v>258</v>
      </c>
      <c r="K53" s="19" t="s">
        <v>259</v>
      </c>
      <c r="L53" s="19"/>
    </row>
    <row r="54" customFormat="false" ht="30" hidden="false" customHeight="true" outlineLevel="0" collapsed="false">
      <c r="A54" s="12" t="n">
        <v>3</v>
      </c>
      <c r="B54" s="18"/>
      <c r="C54" s="18"/>
      <c r="D54" s="18"/>
      <c r="E54" s="18"/>
      <c r="F54" s="18"/>
      <c r="G54" s="18"/>
      <c r="H54" s="18"/>
      <c r="I54" s="18"/>
      <c r="J54" s="19"/>
      <c r="K54" s="19"/>
      <c r="L54" s="19"/>
    </row>
    <row r="55" customFormat="false" ht="30" hidden="false" customHeight="true" outlineLevel="0" collapsed="false">
      <c r="A55" s="12" t="n">
        <v>4</v>
      </c>
      <c r="B55" s="18"/>
      <c r="C55" s="18"/>
      <c r="D55" s="18"/>
      <c r="E55" s="18"/>
      <c r="F55" s="18"/>
      <c r="G55" s="18"/>
      <c r="H55" s="18"/>
      <c r="I55" s="18"/>
      <c r="J55" s="19"/>
      <c r="K55" s="19"/>
      <c r="L55" s="19"/>
    </row>
  </sheetData>
  <mergeCells count="56">
    <mergeCell ref="A5:B5"/>
    <mergeCell ref="C5:L5"/>
    <mergeCell ref="A6:B6"/>
    <mergeCell ref="C6:L6"/>
    <mergeCell ref="A7:B7"/>
    <mergeCell ref="C7:L7"/>
    <mergeCell ref="A8:B8"/>
    <mergeCell ref="C8:L8"/>
    <mergeCell ref="A9:B9"/>
    <mergeCell ref="C9:L9"/>
    <mergeCell ref="A10:B10"/>
    <mergeCell ref="C10:L10"/>
    <mergeCell ref="A11:B11"/>
    <mergeCell ref="C11:L11"/>
    <mergeCell ref="A12:B12"/>
    <mergeCell ref="C12:L12"/>
    <mergeCell ref="B15:C15"/>
    <mergeCell ref="E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A23:L23"/>
    <mergeCell ref="A35:B35"/>
    <mergeCell ref="A36:B36"/>
    <mergeCell ref="A37:B37"/>
    <mergeCell ref="A38:B38"/>
    <mergeCell ref="A39:B39"/>
    <mergeCell ref="A40:B40"/>
    <mergeCell ref="A41:B41"/>
    <mergeCell ref="C44:H44"/>
    <mergeCell ref="I44:L44"/>
    <mergeCell ref="C45:H45"/>
    <mergeCell ref="I45:L45"/>
    <mergeCell ref="C46:H46"/>
    <mergeCell ref="I46:L46"/>
    <mergeCell ref="C47:H47"/>
    <mergeCell ref="I47:L47"/>
    <mergeCell ref="C48:H48"/>
    <mergeCell ref="I48:L48"/>
    <mergeCell ref="B51:H51"/>
    <mergeCell ref="K51:L51"/>
    <mergeCell ref="B52:H52"/>
    <mergeCell ref="K52:L52"/>
    <mergeCell ref="B53:H53"/>
    <mergeCell ref="K53:L53"/>
    <mergeCell ref="B54:H54"/>
    <mergeCell ref="K54:L54"/>
    <mergeCell ref="B55:H55"/>
    <mergeCell ref="K55:L55"/>
  </mergeCells>
  <conditionalFormatting sqref="G25:G32">
    <cfRule type="cellIs" priority="2" operator="equal" aboveAverage="0" equalAverage="0" bottom="0" percent="0" rank="0" text="" dxfId="0">
      <formula>"高"</formula>
    </cfRule>
    <cfRule type="cellIs" priority="3" operator="equal" aboveAverage="0" equalAverage="0" bottom="0" percent="0" rank="0" text="" dxfId="1">
      <formula>"中"</formula>
    </cfRule>
    <cfRule type="cellIs" priority="4" operator="equal" aboveAverage="0" equalAverage="0" bottom="0" percent="0" rank="0" text="" dxfId="2">
      <formula>"低"</formula>
    </cfRule>
  </conditionalFormatting>
  <dataValidations count="7">
    <dataValidation allowBlank="true" errorStyle="stop" operator="between" showDropDown="false" showErrorMessage="false" showInputMessage="false" sqref="D16:D20" type="list">
      <formula1>"シグネチャ変更,戻り値/例外変更,内部ロジック,追加,削除/リネーム,設定変更,DB変更"</formula1>
      <formula2>0</formula2>
    </dataValidation>
    <dataValidation allowBlank="true" errorStyle="stop" operator="between" showDropDown="false" showErrorMessage="false" showInputMessage="false" sqref="C25:C32" type="list">
      <formula1>"画面,API,バッチ,共通部品,DB,外部連携,設定,非機能,運用,ドキュメント"</formula1>
      <formula2>0</formula2>
    </dataValidation>
    <dataValidation allowBlank="true" errorStyle="stop" operator="between" showDropDown="false" showErrorMessage="false" showInputMessage="false" sqref="E25:F32" type="list">
      <formula1>"高,中,低"</formula1>
      <formula2>0</formula2>
    </dataValidation>
    <dataValidation allowBlank="true" errorStyle="stop" operator="between" showDropDown="false" showErrorMessage="false" showInputMessage="false" sqref="H25:H32" type="list">
      <formula1>"要,不要,要確認"</formula1>
      <formula2>0</formula2>
    </dataValidation>
    <dataValidation allowBlank="true" errorStyle="stop" operator="between" showDropDown="false" showErrorMessage="false" showInputMessage="false" sqref="L25:L32" type="list">
      <formula1>"未着手,対応中,完了"</formula1>
      <formula2>0</formula2>
    </dataValidation>
    <dataValidation allowBlank="true" errorStyle="stop" operator="between" showDropDown="false" showErrorMessage="false" showInputMessage="false" sqref="B45:B48" type="list">
      <formula1>"単体,結合,システム,回帰,性能,受入"</formula1>
      <formula2>0</formula2>
    </dataValidation>
    <dataValidation allowBlank="true" errorStyle="stop" operator="between" showDropDown="false" showErrorMessage="false" showInputMessage="false" sqref="K52:K55" type="list">
      <formula1>"未確認,確認中,確認済"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12"/>
    <col collapsed="false" customWidth="true" hidden="false" outlineLevel="0" max="5" min="5" style="0" width="36"/>
  </cols>
  <sheetData>
    <row r="1" customFormat="false" ht="162.65" hidden="false" customHeight="false" outlineLevel="0" collapsed="false">
      <c r="A1" s="1" t="s">
        <v>260</v>
      </c>
    </row>
    <row r="3" customFormat="false" ht="15" hidden="false" customHeight="false" outlineLevel="0" collapsed="false">
      <c r="A3" s="11" t="s">
        <v>29</v>
      </c>
      <c r="B3" s="5" t="s">
        <v>32</v>
      </c>
      <c r="C3" s="5" t="s">
        <v>261</v>
      </c>
      <c r="D3" s="5" t="s">
        <v>262</v>
      </c>
      <c r="E3" s="5" t="s">
        <v>263</v>
      </c>
    </row>
    <row r="4" customFormat="false" ht="29.85" hidden="false" customHeight="false" outlineLevel="0" collapsed="false">
      <c r="A4" s="12" t="n">
        <v>1</v>
      </c>
      <c r="B4" s="6" t="s">
        <v>264</v>
      </c>
      <c r="C4" s="6" t="s">
        <v>265</v>
      </c>
      <c r="D4" s="13"/>
      <c r="E4" s="18"/>
    </row>
    <row r="5" customFormat="false" ht="29.85" hidden="false" customHeight="false" outlineLevel="0" collapsed="false">
      <c r="A5" s="12" t="n">
        <v>2</v>
      </c>
      <c r="B5" s="6" t="s">
        <v>266</v>
      </c>
      <c r="C5" s="7" t="s">
        <v>267</v>
      </c>
      <c r="D5" s="13"/>
      <c r="E5" s="18"/>
    </row>
    <row r="6" customFormat="false" ht="29.85" hidden="false" customHeight="false" outlineLevel="0" collapsed="false">
      <c r="A6" s="12" t="n">
        <v>3</v>
      </c>
      <c r="B6" s="6" t="s">
        <v>268</v>
      </c>
      <c r="C6" s="6" t="s">
        <v>269</v>
      </c>
      <c r="D6" s="13"/>
      <c r="E6" s="18"/>
    </row>
    <row r="7" customFormat="false" ht="15" hidden="false" customHeight="false" outlineLevel="0" collapsed="false">
      <c r="A7" s="12" t="n">
        <v>4</v>
      </c>
      <c r="B7" s="6" t="s">
        <v>81</v>
      </c>
      <c r="C7" s="6" t="s">
        <v>270</v>
      </c>
      <c r="D7" s="13"/>
      <c r="E7" s="18"/>
    </row>
    <row r="8" customFormat="false" ht="29.85" hidden="false" customHeight="false" outlineLevel="0" collapsed="false">
      <c r="A8" s="12" t="n">
        <v>5</v>
      </c>
      <c r="B8" s="6" t="s">
        <v>88</v>
      </c>
      <c r="C8" s="6" t="s">
        <v>271</v>
      </c>
      <c r="D8" s="13"/>
      <c r="E8" s="18"/>
    </row>
    <row r="9" customFormat="false" ht="15" hidden="false" customHeight="false" outlineLevel="0" collapsed="false">
      <c r="A9" s="12" t="n">
        <v>6</v>
      </c>
      <c r="B9" s="6" t="s">
        <v>94</v>
      </c>
      <c r="C9" s="6" t="s">
        <v>272</v>
      </c>
      <c r="D9" s="13"/>
      <c r="E9" s="18"/>
    </row>
    <row r="10" customFormat="false" ht="29.85" hidden="false" customHeight="false" outlineLevel="0" collapsed="false">
      <c r="A10" s="12" t="n">
        <v>7</v>
      </c>
      <c r="B10" s="6" t="s">
        <v>273</v>
      </c>
      <c r="C10" s="6" t="s">
        <v>274</v>
      </c>
      <c r="D10" s="13"/>
      <c r="E10" s="18"/>
    </row>
    <row r="11" customFormat="false" ht="29.85" hidden="false" customHeight="false" outlineLevel="0" collapsed="false">
      <c r="A11" s="12" t="n">
        <v>8</v>
      </c>
      <c r="B11" s="6" t="s">
        <v>171</v>
      </c>
      <c r="C11" s="6" t="s">
        <v>275</v>
      </c>
      <c r="D11" s="13"/>
      <c r="E11" s="18"/>
    </row>
    <row r="12" customFormat="false" ht="29.85" hidden="false" customHeight="false" outlineLevel="0" collapsed="false">
      <c r="A12" s="12" t="n">
        <v>9</v>
      </c>
      <c r="B12" s="6" t="s">
        <v>276</v>
      </c>
      <c r="C12" s="6" t="s">
        <v>277</v>
      </c>
      <c r="D12" s="13"/>
      <c r="E12" s="18"/>
    </row>
    <row r="13" customFormat="false" ht="15" hidden="false" customHeight="false" outlineLevel="0" collapsed="false">
      <c r="A13" s="12" t="n">
        <v>10</v>
      </c>
      <c r="B13" s="6" t="s">
        <v>278</v>
      </c>
      <c r="C13" s="6" t="s">
        <v>279</v>
      </c>
      <c r="D13" s="13"/>
      <c r="E13" s="18"/>
    </row>
  </sheetData>
  <dataValidations count="1">
    <dataValidation allowBlank="true" errorStyle="stop" operator="between" showDropDown="false" showErrorMessage="false" showInputMessage="false" sqref="D4:D13" type="list">
      <formula1>"OK,NG,対象外"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2026-10-12T23:39:51Z</dcterms:created>
  <dc:creator>openpyxl</dc:creator>
  <dc:description/>
  <dc:language>en-US</dc:language>
  <cp:lastModifiedBy/>
  <dcterms:modified xsi:type="dcterms:W3CDTF">2026-10-12T23:39:52Z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